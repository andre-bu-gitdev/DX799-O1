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" sheetId="1" r:id="rId4"/>
    <sheet state="visible" name="FRED Dictionary" sheetId="2" r:id="rId5"/>
    <sheet state="visible" name="Column Type Key" sheetId="3" r:id="rId6"/>
  </sheets>
  <definedNames>
    <definedName hidden="1" localSheetId="1" name="_xlnm._FilterDatabase">'FRED Dictionary'!$A$1:$K$378</definedName>
  </definedNames>
  <calcPr/>
  <extLst>
    <ext uri="GoogleSheetsCustomDataVersion2">
      <go:sheetsCustomData xmlns:go="http://customooxmlschemas.google.com/" r:id="rId7" roundtripDataChecksum="oWVP6LrTTy24LBHNHRw7LVXLOoTXpLNZ+RG4MJl5Sdk="/>
    </ext>
  </extLst>
</workbook>
</file>

<file path=xl/sharedStrings.xml><?xml version="1.0" encoding="utf-8"?>
<sst xmlns="http://schemas.openxmlformats.org/spreadsheetml/2006/main" count="4673" uniqueCount="943">
  <si>
    <t>datasets</t>
  </si>
  <si>
    <t>dataset</t>
  </si>
  <si>
    <t>credit risk</t>
  </si>
  <si>
    <t>column</t>
  </si>
  <si>
    <t>original name</t>
  </si>
  <si>
    <t>variable type</t>
  </si>
  <si>
    <t>new name</t>
  </si>
  <si>
    <t>target? (Y)</t>
  </si>
  <si>
    <t>group</t>
  </si>
  <si>
    <t>description</t>
  </si>
  <si>
    <t>Edit column C (type) or D (mark Y for target) here — Tables 1 and 2 recount automatically. Table 3 colors are static.</t>
  </si>
  <si>
    <t>bank customers</t>
  </si>
  <si>
    <t>indicator timing</t>
  </si>
  <si>
    <t>FRED-QD</t>
  </si>
  <si>
    <t>person_age</t>
  </si>
  <si>
    <t>FRED-MD</t>
  </si>
  <si>
    <t>discrete (integer)</t>
  </si>
  <si>
    <t>potential target variable(s)</t>
  </si>
  <si>
    <t>timing basis</t>
  </si>
  <si>
    <t>potential target?</t>
  </si>
  <si>
    <t>link to credit risk dataset</t>
  </si>
  <si>
    <t>data available (FRED)</t>
  </si>
  <si>
    <t>person_income</t>
  </si>
  <si>
    <t>numeric continuous</t>
  </si>
  <si>
    <t>person_home_ownership</t>
  </si>
  <si>
    <t>categorical (nominal)</t>
  </si>
  <si>
    <t>sasdate</t>
  </si>
  <si>
    <t>date</t>
  </si>
  <si>
    <t>Date</t>
  </si>
  <si>
    <t>Observation date (quarter start for QD, month start for MD)</t>
  </si>
  <si>
    <t>person_emp_length</t>
  </si>
  <si>
    <t>loan_intent</t>
  </si>
  <si>
    <t>n/a</t>
  </si>
  <si>
    <t>loan_grade</t>
  </si>
  <si>
    <t>categorical (ordinal)</t>
  </si>
  <si>
    <t>Time index</t>
  </si>
  <si>
    <t>loan_amnt</t>
  </si>
  <si>
    <t>GDPC1</t>
  </si>
  <si>
    <t>gdp_real</t>
  </si>
  <si>
    <t>1 - NIPA (output &amp; income)</t>
  </si>
  <si>
    <t>loan_int_rate</t>
  </si>
  <si>
    <t>Real Gross Domestic Product</t>
  </si>
  <si>
    <t>loan_status</t>
  </si>
  <si>
    <t>columns</t>
  </si>
  <si>
    <t>discrete (binary)</t>
  </si>
  <si>
    <t>Coincident</t>
  </si>
  <si>
    <t>Y</t>
  </si>
  <si>
    <t>loan_percent_income</t>
  </si>
  <si>
    <t>Moves with current activity (output, jobs, income, sales)</t>
  </si>
  <si>
    <t>cb_person_default_on_file</t>
  </si>
  <si>
    <t>cb_person_cred_hist_length</t>
  </si>
  <si>
    <t>PCECC96</t>
  </si>
  <si>
    <t>pce_real</t>
  </si>
  <si>
    <t>Real Personal Consumption Expenditures</t>
  </si>
  <si>
    <t>CustomerID</t>
  </si>
  <si>
    <t>PCDGx</t>
  </si>
  <si>
    <t>identifier</t>
  </si>
  <si>
    <t>pce_durable</t>
  </si>
  <si>
    <t>Real PCE: Durable Goods</t>
  </si>
  <si>
    <t>PCESVx</t>
  </si>
  <si>
    <t>pce_services</t>
  </si>
  <si>
    <t>BirthDate</t>
  </si>
  <si>
    <t>Real PCE: Services</t>
  </si>
  <si>
    <t>PCNDx</t>
  </si>
  <si>
    <t>SSN</t>
  </si>
  <si>
    <t>pce_nondurable</t>
  </si>
  <si>
    <t>row count</t>
  </si>
  <si>
    <t>Real PCE: Nondurable Goods</t>
  </si>
  <si>
    <t>AccountID</t>
  </si>
  <si>
    <t>AccountOpened</t>
  </si>
  <si>
    <t>AccountType</t>
  </si>
  <si>
    <t>GPDIC1</t>
  </si>
  <si>
    <t>invest_gross</t>
  </si>
  <si>
    <t>Table 1 - A count of each dataset’s columns and row counts  (yellow = fill in FRED row counts)</t>
  </si>
  <si>
    <t>Real Gross Private Domestic Investment</t>
  </si>
  <si>
    <t>types of variables</t>
  </si>
  <si>
    <t>FPIx</t>
  </si>
  <si>
    <t>invest_fixed</t>
  </si>
  <si>
    <t>Real Private Fixed Investment</t>
  </si>
  <si>
    <t>Y033RC1Q027SBEAx</t>
  </si>
  <si>
    <t>invest_equip</t>
  </si>
  <si>
    <t>Real Gross Private Domestic Investment: Nonresidential Equipment</t>
  </si>
  <si>
    <t>PNFIx</t>
  </si>
  <si>
    <t>invest_nonres</t>
  </si>
  <si>
    <t>Real Private Fixed Investment: Nonresidential</t>
  </si>
  <si>
    <t>PRFIx</t>
  </si>
  <si>
    <t>invest_res</t>
  </si>
  <si>
    <t>Real Private Fixed Investment: Residential</t>
  </si>
  <si>
    <t>Leading</t>
  </si>
  <si>
    <t>Residential investment typically turns first in a cycle</t>
  </si>
  <si>
    <t>A014RE1Q156NBEA</t>
  </si>
  <si>
    <t>invest_inv_chg</t>
  </si>
  <si>
    <t>Shares of GDP: Change in Private Inventories</t>
  </si>
  <si>
    <t>GCEC1</t>
  </si>
  <si>
    <t>gov_spend_real</t>
  </si>
  <si>
    <t>Real Government Consumption Expenditures &amp; Gross Investment</t>
  </si>
  <si>
    <t>A823RL1Q225SBEA</t>
  </si>
  <si>
    <t>gov_fed_pct</t>
  </si>
  <si>
    <t>Real Federal Government Consumption &amp; Gross Investment (% change)</t>
  </si>
  <si>
    <t>FGRECPTx</t>
  </si>
  <si>
    <t>gov_fed_receipts</t>
  </si>
  <si>
    <t>Real Federal Government Current Receipts</t>
  </si>
  <si>
    <t>SLCEx</t>
  </si>
  <si>
    <t>gov_sl_spend</t>
  </si>
  <si>
    <t>Real State &amp; Local Government Consumption Expenditures</t>
  </si>
  <si>
    <t>EXPGSC1</t>
  </si>
  <si>
    <t>exports_real</t>
  </si>
  <si>
    <t>Real Exports of Goods &amp; Services</t>
  </si>
  <si>
    <t>IMPGSC1</t>
  </si>
  <si>
    <t>imports_real</t>
  </si>
  <si>
    <t>Real Imports of Goods &amp; Services</t>
  </si>
  <si>
    <t>DPIC96</t>
  </si>
  <si>
    <t>income_disp_real</t>
  </si>
  <si>
    <t>Real Disposable Personal Income</t>
  </si>
  <si>
    <t>OUTNFB</t>
  </si>
  <si>
    <t>out_nfb</t>
  </si>
  <si>
    <t>Nonfarm Business Sector: Real Output</t>
  </si>
  <si>
    <t>OUTBS</t>
  </si>
  <si>
    <t>out_bus</t>
  </si>
  <si>
    <t>Business Sector: Real Output</t>
  </si>
  <si>
    <t>OUTMS</t>
  </si>
  <si>
    <t>INDPRO</t>
  </si>
  <si>
    <t>out_mfg</t>
  </si>
  <si>
    <t>IPFINAL</t>
  </si>
  <si>
    <t>Manufacturing Sector: Real Output</t>
  </si>
  <si>
    <t>IPCONGD</t>
  </si>
  <si>
    <t>B020RE1Q156NBEA</t>
  </si>
  <si>
    <t>gdp_share_exports</t>
  </si>
  <si>
    <t>Shares of GDP: Exports of Goods &amp; Services</t>
  </si>
  <si>
    <t>IPMAT</t>
  </si>
  <si>
    <t>B021RE1Q156NBEA</t>
  </si>
  <si>
    <t>IPDMAT</t>
  </si>
  <si>
    <t>gdp_share_imports</t>
  </si>
  <si>
    <t>Shares of GDP: Imports of Goods &amp; Services</t>
  </si>
  <si>
    <t>IPNMAT</t>
  </si>
  <si>
    <t>ip_total</t>
  </si>
  <si>
    <t>2 - Industrial Production</t>
  </si>
  <si>
    <t>Industrial Production Index: Total</t>
  </si>
  <si>
    <t>IPDCONGD</t>
  </si>
  <si>
    <t>ip_final</t>
  </si>
  <si>
    <t>IPB51110SQ</t>
  </si>
  <si>
    <t>IP: Final Products</t>
  </si>
  <si>
    <t>IPNCONGD</t>
  </si>
  <si>
    <t>ip_consumer</t>
  </si>
  <si>
    <t>IP: Consumer Goods</t>
  </si>
  <si>
    <t>IPBUSEQ</t>
  </si>
  <si>
    <t>ip_materials</t>
  </si>
  <si>
    <t>IP: Materials</t>
  </si>
  <si>
    <t>IPB51220SQ</t>
  </si>
  <si>
    <t>TCU</t>
  </si>
  <si>
    <t>ip_dur_mat</t>
  </si>
  <si>
    <t>IP: Durable Materials</t>
  </si>
  <si>
    <t>CUMFNS</t>
  </si>
  <si>
    <t>ip_nondur_mat</t>
  </si>
  <si>
    <t>IP: Nondurable Materials</t>
  </si>
  <si>
    <t>PAYEMS</t>
  </si>
  <si>
    <t>ip_dur_cons</t>
  </si>
  <si>
    <t>USPRIV</t>
  </si>
  <si>
    <t>IP: Durable Consumer Goods</t>
  </si>
  <si>
    <t>MANEMP</t>
  </si>
  <si>
    <t>ip_auto</t>
  </si>
  <si>
    <t>SRVPRD</t>
  </si>
  <si>
    <t>IP: Durable Goods: Automotive Products</t>
  </si>
  <si>
    <t>USGOOD</t>
  </si>
  <si>
    <t>ip_nondur_cons</t>
  </si>
  <si>
    <t>DMANEMP</t>
  </si>
  <si>
    <t>IP: Nondurable Consumer Goods</t>
  </si>
  <si>
    <t>NDMANEMP</t>
  </si>
  <si>
    <t>ip_bus_equip</t>
  </si>
  <si>
    <t>IP: Business Equipment</t>
  </si>
  <si>
    <t>USCONS</t>
  </si>
  <si>
    <t>ip_cons_energy</t>
  </si>
  <si>
    <t>USEHS</t>
  </si>
  <si>
    <t>IP: Consumer Energy Products</t>
  </si>
  <si>
    <t>USFIRE</t>
  </si>
  <si>
    <t>caputil_total</t>
  </si>
  <si>
    <t>USINFO</t>
  </si>
  <si>
    <t>Capacity Utilization: Total Industry</t>
  </si>
  <si>
    <t>USPBS</t>
  </si>
  <si>
    <t>caputil_mfg</t>
  </si>
  <si>
    <t>USLAH</t>
  </si>
  <si>
    <t>Capacity Utilization: Manufacturing</t>
  </si>
  <si>
    <t>USSERV</t>
  </si>
  <si>
    <t>IPMANSICS</t>
  </si>
  <si>
    <t>ip_mfg</t>
  </si>
  <si>
    <t>IP: Manufacturing (SIC)</t>
  </si>
  <si>
    <t>USMINE</t>
  </si>
  <si>
    <t>USTPU</t>
  </si>
  <si>
    <t>USGOVT</t>
  </si>
  <si>
    <t>USTRADE</t>
  </si>
  <si>
    <t>IPB51222S</t>
  </si>
  <si>
    <t>USWTRADE</t>
  </si>
  <si>
    <t>ip_res_util</t>
  </si>
  <si>
    <t>IP: Residential Utilities</t>
  </si>
  <si>
    <t>CES9091000001</t>
  </si>
  <si>
    <t>IPFUELS</t>
  </si>
  <si>
    <t>ip_fuels</t>
  </si>
  <si>
    <t>CES9092000001</t>
  </si>
  <si>
    <t>IP: Fuels</t>
  </si>
  <si>
    <t>CES9093000001</t>
  </si>
  <si>
    <t>emp_nonfarm</t>
  </si>
  <si>
    <t>3 - Employment &amp; Unemployment</t>
  </si>
  <si>
    <t>All Employees: Total Nonfarm</t>
  </si>
  <si>
    <t>CE16OV</t>
  </si>
  <si>
    <t>CIVPART</t>
  </si>
  <si>
    <t>emp_private</t>
  </si>
  <si>
    <t>All Employees: Total Private</t>
  </si>
  <si>
    <t>UNRATE</t>
  </si>
  <si>
    <t>emp_mfg</t>
  </si>
  <si>
    <t>All Employees: Manufacturing</t>
  </si>
  <si>
    <t>UNRATESTx</t>
  </si>
  <si>
    <t>emp_services</t>
  </si>
  <si>
    <t>UNRATELTx</t>
  </si>
  <si>
    <t>All Employees: Service-Providing Industries</t>
  </si>
  <si>
    <t>LNS14000012</t>
  </si>
  <si>
    <t>emp_goods</t>
  </si>
  <si>
    <t>All Employees: Goods-Producing Industries</t>
  </si>
  <si>
    <t>LNS14000025</t>
  </si>
  <si>
    <t>LNS14000026</t>
  </si>
  <si>
    <t>emp_dur_mfg</t>
  </si>
  <si>
    <t>All Employees: Durable Goods Manufacturing</t>
  </si>
  <si>
    <t>UEMPLT5</t>
  </si>
  <si>
    <t>emp_nondur_mfg</t>
  </si>
  <si>
    <t>All Employees: Nondurable Goods Manufacturing</t>
  </si>
  <si>
    <t>UEMP5TO14</t>
  </si>
  <si>
    <t>UEMP15T26</t>
  </si>
  <si>
    <t>emp_constr</t>
  </si>
  <si>
    <t>All Employees: Construction</t>
  </si>
  <si>
    <t>UEMP27OV</t>
  </si>
  <si>
    <t>LNS13023621</t>
  </si>
  <si>
    <t>emp_edu_health</t>
  </si>
  <si>
    <t>All Employees: Education &amp; Health Services</t>
  </si>
  <si>
    <t>LNS13023557</t>
  </si>
  <si>
    <t>emp_finance</t>
  </si>
  <si>
    <t>LNS13023705</t>
  </si>
  <si>
    <t>All Employees: Financial Activities</t>
  </si>
  <si>
    <t>LNS13023569</t>
  </si>
  <si>
    <t>emp_info</t>
  </si>
  <si>
    <t>All Employees: Information Services</t>
  </si>
  <si>
    <t>LNS12032194</t>
  </si>
  <si>
    <t>emp_prof_bus</t>
  </si>
  <si>
    <t>All Employees: Professional &amp; Business Services</t>
  </si>
  <si>
    <t>HOABS</t>
  </si>
  <si>
    <t>emp_leisure</t>
  </si>
  <si>
    <t>HOAMS</t>
  </si>
  <si>
    <t>All Employees: Leisure &amp; Hospitality</t>
  </si>
  <si>
    <t>HOANBS</t>
  </si>
  <si>
    <t>emp_other_serv</t>
  </si>
  <si>
    <t>All Employees: Other Services</t>
  </si>
  <si>
    <t>AWHMAN</t>
  </si>
  <si>
    <t>emp_mining</t>
  </si>
  <si>
    <t>AWHNONAG</t>
  </si>
  <si>
    <t>All Employees: Mining &amp; Logging</t>
  </si>
  <si>
    <t>AWOTMAN</t>
  </si>
  <si>
    <t>emp_trade_trans</t>
  </si>
  <si>
    <t>All Employees: Trade, Transportation &amp; Utilities</t>
  </si>
  <si>
    <t>HWIx</t>
  </si>
  <si>
    <t>emp_govt</t>
  </si>
  <si>
    <t>HOUST</t>
  </si>
  <si>
    <t>All Employees: Government</t>
  </si>
  <si>
    <t>HOUST5F</t>
  </si>
  <si>
    <t>emp_retail</t>
  </si>
  <si>
    <t>All Employees: Retail Trade</t>
  </si>
  <si>
    <t>PERMIT</t>
  </si>
  <si>
    <t>emp_wholesale</t>
  </si>
  <si>
    <t>All Employees: Wholesale Trade</t>
  </si>
  <si>
    <t>HOUSTMW</t>
  </si>
  <si>
    <t>emp_gov_fed</t>
  </si>
  <si>
    <t>HOUSTNE</t>
  </si>
  <si>
    <t>All Employees: Federal Government</t>
  </si>
  <si>
    <t>HOUSTS</t>
  </si>
  <si>
    <t>emp_gov_state</t>
  </si>
  <si>
    <t>HOUSTW</t>
  </si>
  <si>
    <t>All Employees: State Government</t>
  </si>
  <si>
    <t>CMRMTSPLx</t>
  </si>
  <si>
    <t>RSAFSx</t>
  </si>
  <si>
    <t>emp_gov_local</t>
  </si>
  <si>
    <t>All Employees: Local Government</t>
  </si>
  <si>
    <t>AMDMNOx</t>
  </si>
  <si>
    <t>ACOGNOx</t>
  </si>
  <si>
    <t>emp_civilian</t>
  </si>
  <si>
    <t>Civilian Employment</t>
  </si>
  <si>
    <t>AMDMUOx</t>
  </si>
  <si>
    <t>ANDENOx</t>
  </si>
  <si>
    <t>lf_part_rate</t>
  </si>
  <si>
    <t>Civilian Labor Force Participation Rate</t>
  </si>
  <si>
    <t>INVCQRMTSPL</t>
  </si>
  <si>
    <t>PCECTPI</t>
  </si>
  <si>
    <t>unemp_rate</t>
  </si>
  <si>
    <t>Civilian Unemployment Rate</t>
  </si>
  <si>
    <t>PCEPILFE</t>
  </si>
  <si>
    <t>Lagging</t>
  </si>
  <si>
    <t>GDPCTPI</t>
  </si>
  <si>
    <t>GPDICTPI</t>
  </si>
  <si>
    <t>Unemployment peaks after recessions end</t>
  </si>
  <si>
    <t>unemp_rate_short</t>
  </si>
  <si>
    <t>Unemployment Rate: less than 27 weeks</t>
  </si>
  <si>
    <t>IPDBS</t>
  </si>
  <si>
    <t>DGDSRG3Q086SBEA</t>
  </si>
  <si>
    <t>unemp_rate_long</t>
  </si>
  <si>
    <t>Unemployment Rate: 27 weeks and over</t>
  </si>
  <si>
    <t>Long-term unemployment builds after downturns</t>
  </si>
  <si>
    <t>DDURRG3Q086SBEA</t>
  </si>
  <si>
    <t>DSERRG3Q086SBEA</t>
  </si>
  <si>
    <t>unemp_rate_16_19</t>
  </si>
  <si>
    <t>DNDGRG3Q086SBEA</t>
  </si>
  <si>
    <t>Unemployment Rate: 16-19 years</t>
  </si>
  <si>
    <t>DHCERG3Q086SBEA</t>
  </si>
  <si>
    <t>DMOTRG3Q086SBEA</t>
  </si>
  <si>
    <t>unemp_rate_men</t>
  </si>
  <si>
    <t>Unemployment Rate: 20 years &amp; over, Men</t>
  </si>
  <si>
    <t>DFDHRG3Q086SBEA</t>
  </si>
  <si>
    <t>DREQRG3Q086SBEA</t>
  </si>
  <si>
    <t>unemp_rate_women</t>
  </si>
  <si>
    <t>Unemployment Rate: 20 years &amp; over, Women</t>
  </si>
  <si>
    <t>DODGRG3Q086SBEA</t>
  </si>
  <si>
    <t>unemp_lt5wk</t>
  </si>
  <si>
    <t>Number Unemployed: less than 5 weeks</t>
  </si>
  <si>
    <t>unemp_5_14wk</t>
  </si>
  <si>
    <t>Number Unemployed: 5-14 weeks</t>
  </si>
  <si>
    <t>DFXARG3Q086SBEA</t>
  </si>
  <si>
    <t>DCLORG3Q086SBEA</t>
  </si>
  <si>
    <t>unemp_15_26wk</t>
  </si>
  <si>
    <t>Number Unemployed: 15-26 weeks</t>
  </si>
  <si>
    <t>DGOERG3Q086SBEA</t>
  </si>
  <si>
    <t>DONGRG3Q086SBEA</t>
  </si>
  <si>
    <t>unemp_27wk_plus</t>
  </si>
  <si>
    <t>Number Unemployed: 27 weeks and over</t>
  </si>
  <si>
    <t>DHUTRG3Q086SBEA</t>
  </si>
  <si>
    <t>DHLCRG3Q086SBEA</t>
  </si>
  <si>
    <t>unemp_job_losers</t>
  </si>
  <si>
    <t>DTRSRG3Q086SBEA</t>
  </si>
  <si>
    <t>Unemployment Level: Job Losers</t>
  </si>
  <si>
    <t>DRCARG3Q086SBEA</t>
  </si>
  <si>
    <t>unemp_reentrants</t>
  </si>
  <si>
    <t>Unemployment Level: Reentrants to Labor Force</t>
  </si>
  <si>
    <t>DFSARG3Q086SBEA</t>
  </si>
  <si>
    <t>DIFSRG3Q086SBEA</t>
  </si>
  <si>
    <t>unemp_job_leavers</t>
  </si>
  <si>
    <t>Unemployment Level: Job Leavers</t>
  </si>
  <si>
    <t>DOTSRG3Q086SBEA</t>
  </si>
  <si>
    <t>CPIAUCSL</t>
  </si>
  <si>
    <t>unemp_new_entrants</t>
  </si>
  <si>
    <t>Unemployment Level: New Entrants</t>
  </si>
  <si>
    <t>CPILFESL</t>
  </si>
  <si>
    <t>WPSFD49207</t>
  </si>
  <si>
    <t>PPIACO</t>
  </si>
  <si>
    <t>emp_pt_econ</t>
  </si>
  <si>
    <t>Employment Level: Part-Time for Economic Reasons</t>
  </si>
  <si>
    <t>WPSFD49502</t>
  </si>
  <si>
    <t>WPSFD4111</t>
  </si>
  <si>
    <t>hours_bus</t>
  </si>
  <si>
    <t>PPIIDC</t>
  </si>
  <si>
    <t>Business Sector: Hours of All Persons</t>
  </si>
  <si>
    <t>WPSID61</t>
  </si>
  <si>
    <t>hours_mfg</t>
  </si>
  <si>
    <t>WPU0531</t>
  </si>
  <si>
    <t>Manufacturing Sector: Hours of All Persons</t>
  </si>
  <si>
    <t>total</t>
  </si>
  <si>
    <t>WPU0561</t>
  </si>
  <si>
    <t>OILPRICEx</t>
  </si>
  <si>
    <t>hours_nfb</t>
  </si>
  <si>
    <t>Nonfarm Business Sector: Hours of All Persons</t>
  </si>
  <si>
    <t>AHETPIx</t>
  </si>
  <si>
    <t>CES2000000008x</t>
  </si>
  <si>
    <t>hours_wk_mfg</t>
  </si>
  <si>
    <t>Average Weekly Hours: Manufacturing</t>
  </si>
  <si>
    <t>CES3000000008x</t>
  </si>
  <si>
    <t>Firms adjust hours before hiring/firing</t>
  </si>
  <si>
    <t>COMPRMS</t>
  </si>
  <si>
    <t>hours_wk_private</t>
  </si>
  <si>
    <t>Table 2 - The types of variables available in each dataset color coded for Table 3</t>
  </si>
  <si>
    <t>COMPRNFB</t>
  </si>
  <si>
    <t>Average Weekly Hours: Total Private</t>
  </si>
  <si>
    <t>FRED target variables (red) are macro series related to the credit risk dataset. Delinquency/charge-off add-ons (closest to loan_status) are on the FRED Dictionary tab.</t>
  </si>
  <si>
    <t>RCPHBS</t>
  </si>
  <si>
    <t>hours_ot_mfg</t>
  </si>
  <si>
    <t>OPHMFG</t>
  </si>
  <si>
    <t>Average Weekly Overtime Hours: Manufacturing</t>
  </si>
  <si>
    <t>OPHNFB</t>
  </si>
  <si>
    <t>OPHPBS</t>
  </si>
  <si>
    <t>help_wanted_idx</t>
  </si>
  <si>
    <t>Help-Wanted Index</t>
  </si>
  <si>
    <t>ULCBS</t>
  </si>
  <si>
    <t>ULCMFG</t>
  </si>
  <si>
    <t>UEMPMEAN</t>
  </si>
  <si>
    <t>unemp_dur_mean</t>
  </si>
  <si>
    <t>Average Duration of Unemployment (weeks)</t>
  </si>
  <si>
    <t>ULCNFB</t>
  </si>
  <si>
    <t>UNLPNBS</t>
  </si>
  <si>
    <t>RPI</t>
  </si>
  <si>
    <t>CES0600000007</t>
  </si>
  <si>
    <t>hours_wk_goods</t>
  </si>
  <si>
    <t>FEDFUNDS</t>
  </si>
  <si>
    <t>Average Weekly Hours: Goods-Producing</t>
  </si>
  <si>
    <t>W875RX1</t>
  </si>
  <si>
    <t>TB3MS</t>
  </si>
  <si>
    <t>HWIURATIOx</t>
  </si>
  <si>
    <t>help_wanted_ratio</t>
  </si>
  <si>
    <t>DPCERA3M086SBEA</t>
  </si>
  <si>
    <t>TB6MS</t>
  </si>
  <si>
    <t>Ratio of Help Wanted to Number Unemployed</t>
  </si>
  <si>
    <t>GS1</t>
  </si>
  <si>
    <t>CLAIMSx</t>
  </si>
  <si>
    <t>unemp_claims</t>
  </si>
  <si>
    <t>GS10</t>
  </si>
  <si>
    <t>Initial Claims for Unemployment Insurance</t>
  </si>
  <si>
    <t>Layoff filings rise before unemployment does</t>
  </si>
  <si>
    <t>MORTGAGE30US</t>
  </si>
  <si>
    <t>RETAILx</t>
  </si>
  <si>
    <t>AAA</t>
  </si>
  <si>
    <t>house_starts</t>
  </si>
  <si>
    <t>4 - Housing</t>
  </si>
  <si>
    <t>Housing Starts: Total</t>
  </si>
  <si>
    <t>BAA</t>
  </si>
  <si>
    <t>Construction plans turn before the broader economy</t>
  </si>
  <si>
    <t>BAA10YM</t>
  </si>
  <si>
    <t>IPFPNSS</t>
  </si>
  <si>
    <t>house_starts_5plus</t>
  </si>
  <si>
    <t>MORTG10YRx</t>
  </si>
  <si>
    <t>Housing Starts: 5+ Unit Structures</t>
  </si>
  <si>
    <t>TB6M3Mx</t>
  </si>
  <si>
    <t>house_permits</t>
  </si>
  <si>
    <t>GS1TB3Mx</t>
  </si>
  <si>
    <t>New Private Housing Permits: Total</t>
  </si>
  <si>
    <t>GS10TB3Mx</t>
  </si>
  <si>
    <t>CPF3MTB3Mx</t>
  </si>
  <si>
    <t>house_starts_mw</t>
  </si>
  <si>
    <t>Housing Starts: Midwest</t>
  </si>
  <si>
    <t>BOGMBASEREALx</t>
  </si>
  <si>
    <t>M1REAL</t>
  </si>
  <si>
    <t>house_starts_ne</t>
  </si>
  <si>
    <t>Housing Starts: Northeast</t>
  </si>
  <si>
    <t>M2REAL</t>
  </si>
  <si>
    <t>BUSLOANSx</t>
  </si>
  <si>
    <t>house_starts_s</t>
  </si>
  <si>
    <t>Housing Starts: South</t>
  </si>
  <si>
    <t>CONSUMERx</t>
  </si>
  <si>
    <t>NONREVSLx</t>
  </si>
  <si>
    <t>house_starts_w</t>
  </si>
  <si>
    <t>REALLNx</t>
  </si>
  <si>
    <t>Housing Starts: West</t>
  </si>
  <si>
    <t>HWI</t>
  </si>
  <si>
    <t>REVOLSLx</t>
  </si>
  <si>
    <t>HWIURATIO</t>
  </si>
  <si>
    <t>USSTHPI</t>
  </si>
  <si>
    <t>house_price_idx</t>
  </si>
  <si>
    <t>CLF16OV</t>
  </si>
  <si>
    <t>TOTALSLx</t>
  </si>
  <si>
    <t>FHFA All-Transactions House Price Index</t>
  </si>
  <si>
    <t>Home prices adjust slowly after demand shifts</t>
  </si>
  <si>
    <t>DRIWCIL</t>
  </si>
  <si>
    <t>SPCS10RSA</t>
  </si>
  <si>
    <t>house_cs10</t>
  </si>
  <si>
    <t>TABSHNOx</t>
  </si>
  <si>
    <t>S&amp;P/Case-Shiller 10-City Home Price Index</t>
  </si>
  <si>
    <t>TLBSHNOx</t>
  </si>
  <si>
    <t>UEMP15OV</t>
  </si>
  <si>
    <t>SPCS20RSA</t>
  </si>
  <si>
    <t>LIABPIx</t>
  </si>
  <si>
    <t>house_cs20</t>
  </si>
  <si>
    <t>S&amp;P/Case-Shiller 20-City Home Price Index</t>
  </si>
  <si>
    <t>TNWBSHNOx</t>
  </si>
  <si>
    <t>PERMITNE</t>
  </si>
  <si>
    <t>house_permits_ne</t>
  </si>
  <si>
    <t>NWPIx</t>
  </si>
  <si>
    <t>CES1021000001</t>
  </si>
  <si>
    <t>New Private Housing Permits: Northeast</t>
  </si>
  <si>
    <t>TARESAx</t>
  </si>
  <si>
    <t>PERMITMW</t>
  </si>
  <si>
    <t>house_permits_mw</t>
  </si>
  <si>
    <t>HNOREMQ027Sx</t>
  </si>
  <si>
    <t>New Private Housing Permits: Midwest</t>
  </si>
  <si>
    <t>TFAABSHNOx</t>
  </si>
  <si>
    <t>PERMITS</t>
  </si>
  <si>
    <t>VIXCLSx</t>
  </si>
  <si>
    <t>house_permits_s</t>
  </si>
  <si>
    <t>New Private Housing Permits: South</t>
  </si>
  <si>
    <t>PERMITW</t>
  </si>
  <si>
    <t>house_permits_w</t>
  </si>
  <si>
    <t>New Private Housing Permits: West</t>
  </si>
  <si>
    <t>TWEXAFEGSMTHx</t>
  </si>
  <si>
    <t>sales_mfg_trade</t>
  </si>
  <si>
    <t>5 - Inventories, Orders &amp; Sales</t>
  </si>
  <si>
    <t>EXUSEU</t>
  </si>
  <si>
    <t>Real Manufacturing &amp; Trade Industries Sales</t>
  </si>
  <si>
    <t>EXSZUSx</t>
  </si>
  <si>
    <t>EXJPUSx</t>
  </si>
  <si>
    <t>sales_retail</t>
  </si>
  <si>
    <t>Real Retail &amp; Food Services Sales</t>
  </si>
  <si>
    <t>EXUSUKx</t>
  </si>
  <si>
    <t>EXCAUSx</t>
  </si>
  <si>
    <t>UMCSENTx</t>
  </si>
  <si>
    <t>orders_durable</t>
  </si>
  <si>
    <t>New Orders: Durable Goods</t>
  </si>
  <si>
    <t>New orders signal future production</t>
  </si>
  <si>
    <t>USEPUINDXM</t>
  </si>
  <si>
    <t>orders_consumer</t>
  </si>
  <si>
    <t>New Orders: Consumer Goods</t>
  </si>
  <si>
    <t>GFDEGDQ188S</t>
  </si>
  <si>
    <t>GFDEBTNx</t>
  </si>
  <si>
    <t>orders_unfilled_dur</t>
  </si>
  <si>
    <t>Unfilled Orders: Durable Goods</t>
  </si>
  <si>
    <t>Backlog builds/drains after orders change</t>
  </si>
  <si>
    <t>ACOGNO</t>
  </si>
  <si>
    <t>orders_cap_goods</t>
  </si>
  <si>
    <t>New Orders: Nondefense Capital Goods</t>
  </si>
  <si>
    <t>BUSINVx</t>
  </si>
  <si>
    <t>inv_mfg_trade</t>
  </si>
  <si>
    <t>TOTRESNS</t>
  </si>
  <si>
    <t>Real Manufacturing &amp; Trade Inventories</t>
  </si>
  <si>
    <t>ISRATIOx</t>
  </si>
  <si>
    <t>Inventories adjust after sales change</t>
  </si>
  <si>
    <t>M1SL</t>
  </si>
  <si>
    <t>NONBORRES</t>
  </si>
  <si>
    <t>M2SL</t>
  </si>
  <si>
    <t>GS5</t>
  </si>
  <si>
    <t>inv_business</t>
  </si>
  <si>
    <t>BOGMBASE</t>
  </si>
  <si>
    <t>Total Business Inventories</t>
  </si>
  <si>
    <t>TB3SMFFM</t>
  </si>
  <si>
    <t>T5YFFM</t>
  </si>
  <si>
    <t>inv_sales_ratio</t>
  </si>
  <si>
    <t>Total Business: Inventories to Sales Ratio</t>
  </si>
  <si>
    <t>BUSLOANS</t>
  </si>
  <si>
    <t>AAAFFM</t>
  </si>
  <si>
    <t>REALLN</t>
  </si>
  <si>
    <t>WPSID62</t>
  </si>
  <si>
    <t>px_pce</t>
  </si>
  <si>
    <t>PPICMM</t>
  </si>
  <si>
    <t>6 - Prices</t>
  </si>
  <si>
    <t>PCE: Chain-type Price Index</t>
  </si>
  <si>
    <t>NONREVSL</t>
  </si>
  <si>
    <t>Inflation responds after demand changes</t>
  </si>
  <si>
    <t>CPIAPPSL</t>
  </si>
  <si>
    <t>CPITRNSL</t>
  </si>
  <si>
    <t>CONSPI</t>
  </si>
  <si>
    <t>px_pce_core</t>
  </si>
  <si>
    <t>PCE excluding Food &amp; Energy: Chain-type Price Index</t>
  </si>
  <si>
    <t>CPIMEDSL</t>
  </si>
  <si>
    <t>S&amp;P 500</t>
  </si>
  <si>
    <t>CUSR0000SAC</t>
  </si>
  <si>
    <t>S&amp;P div yield</t>
  </si>
  <si>
    <t>px_gdp</t>
  </si>
  <si>
    <t>S&amp;P PE ratio</t>
  </si>
  <si>
    <t>CUSR0000SAD</t>
  </si>
  <si>
    <t>GDP: Chain-type Price Index</t>
  </si>
  <si>
    <t>CUSR0000SAS</t>
  </si>
  <si>
    <t>CP3Mx</t>
  </si>
  <si>
    <t>CPIULFSL</t>
  </si>
  <si>
    <t>px_invest</t>
  </si>
  <si>
    <t>Gross Private Domestic Investment: Chain-type Price Index</t>
  </si>
  <si>
    <t>CUSR0000SA0L2</t>
  </si>
  <si>
    <t>CUSR0000SA0L5</t>
  </si>
  <si>
    <t>px_bus</t>
  </si>
  <si>
    <t>CES0600000008</t>
  </si>
  <si>
    <t>Business Sector: Implicit Price Deflator</t>
  </si>
  <si>
    <t>DTCOLNVHFNM</t>
  </si>
  <si>
    <t>DTCTHFNM</t>
  </si>
  <si>
    <t>px_pce_goods</t>
  </si>
  <si>
    <t>PCE Price Index: Goods</t>
  </si>
  <si>
    <t>INVEST</t>
  </si>
  <si>
    <t>COMPAPFFx</t>
  </si>
  <si>
    <t>px_pce_durable</t>
  </si>
  <si>
    <t>TB6SMFFM</t>
  </si>
  <si>
    <t>PCE Price Index: Durable Goods</t>
  </si>
  <si>
    <t>T1YFFM</t>
  </si>
  <si>
    <t>px_pce_services</t>
  </si>
  <si>
    <t>PCE Price Index: Services</t>
  </si>
  <si>
    <t>T10YFFM</t>
  </si>
  <si>
    <t>CONSPIx</t>
  </si>
  <si>
    <t>CP3M</t>
  </si>
  <si>
    <t>BAAFFM</t>
  </si>
  <si>
    <t>px_pce_nondur</t>
  </si>
  <si>
    <t>PCE Price Index: Nondurable Goods</t>
  </si>
  <si>
    <t>COMPAPFF</t>
  </si>
  <si>
    <t>px_pce_hh_serv</t>
  </si>
  <si>
    <t>PCE Price Index: Household Consumption Services</t>
  </si>
  <si>
    <t>px_pce_autos</t>
  </si>
  <si>
    <t>PCE Price Index: Motor Vehicles &amp; Parts</t>
  </si>
  <si>
    <t>NIKKEI225</t>
  </si>
  <si>
    <t>NASDAQCOM</t>
  </si>
  <si>
    <t>px_pce_furnish</t>
  </si>
  <si>
    <t>PCE Price Index: Furnishings &amp; Household Equipment</t>
  </si>
  <si>
    <t>CUSR0000SEHC</t>
  </si>
  <si>
    <t>TLBSNNCBx</t>
  </si>
  <si>
    <t>px_pce_rec_goods</t>
  </si>
  <si>
    <t>TLBSNNCBBDIx</t>
  </si>
  <si>
    <t>PCE Price Index: Recreational Goods &amp; Vehicles</t>
  </si>
  <si>
    <t>TTAABSNNCBx</t>
  </si>
  <si>
    <t>px_pce_oth_dur</t>
  </si>
  <si>
    <t>TNWMVBSNNCBx</t>
  </si>
  <si>
    <t>PCE Price Index: Other Durable Goods</t>
  </si>
  <si>
    <t>TNWMVBSNNCBBDIx</t>
  </si>
  <si>
    <t>px_pce_food</t>
  </si>
  <si>
    <t>TLBSNNBx</t>
  </si>
  <si>
    <t>PCE Price Index: Food &amp; Beverages (off-premises)</t>
  </si>
  <si>
    <t>TLBSNNBBDIx</t>
  </si>
  <si>
    <t>TABSNNBx</t>
  </si>
  <si>
    <t>px_pce_clothing</t>
  </si>
  <si>
    <t>PCE Price Index: Clothing &amp; Footwear</t>
  </si>
  <si>
    <t>TNWBSNNBx</t>
  </si>
  <si>
    <t>TNWBSNNBBDIx</t>
  </si>
  <si>
    <t>px_pce_gas</t>
  </si>
  <si>
    <t>PCE Price Index: Gasoline &amp; Other Energy Goods</t>
  </si>
  <si>
    <t>CNCFx</t>
  </si>
  <si>
    <t>px_pce_oth_nondur</t>
  </si>
  <si>
    <t>PCE Price Index: Other Nondurable Goods</t>
  </si>
  <si>
    <t>px_pce_housing</t>
  </si>
  <si>
    <t>PCE Price Index: Housing &amp; Utilities</t>
  </si>
  <si>
    <t>px_pce_health</t>
  </si>
  <si>
    <t>PCE Price Index: Health Care</t>
  </si>
  <si>
    <t>px_pce_transport</t>
  </si>
  <si>
    <t>PCE Price Index: Transportation Services</t>
  </si>
  <si>
    <t>px_pce_rec_serv</t>
  </si>
  <si>
    <t>PCE Price Index: Recreation Services</t>
  </si>
  <si>
    <t>px_pce_food_serv</t>
  </si>
  <si>
    <t>PCE Price Index: Food Services &amp; Accommodations</t>
  </si>
  <si>
    <t>px_pce_fin_serv</t>
  </si>
  <si>
    <t>PCE Price Index: Financial Services &amp; Insurance</t>
  </si>
  <si>
    <t>px_pce_oth_serv</t>
  </si>
  <si>
    <t>PCE Price Index: Other Services</t>
  </si>
  <si>
    <t>cpi_all</t>
  </si>
  <si>
    <t>CPI: All Items</t>
  </si>
  <si>
    <t>cpi_core</t>
  </si>
  <si>
    <t>CPI: All Items Less Food &amp; Energy</t>
  </si>
  <si>
    <t>ppi_finished</t>
  </si>
  <si>
    <t>PPI: Finished Goods</t>
  </si>
  <si>
    <t>ppi_all</t>
  </si>
  <si>
    <t>PPI: All Commodities</t>
  </si>
  <si>
    <t>ppi_fin_cons</t>
  </si>
  <si>
    <t>PPI: Finished Consumer Goods</t>
  </si>
  <si>
    <t>ppi_fin_food</t>
  </si>
  <si>
    <t>PPI: Finished Consumer Foods</t>
  </si>
  <si>
    <t>ppi_industrial</t>
  </si>
  <si>
    <t>PPI: Industrial Commodities</t>
  </si>
  <si>
    <t>ppi_intermediate</t>
  </si>
  <si>
    <t>PPI: Intermediate Materials</t>
  </si>
  <si>
    <t>PCEPI</t>
  </si>
  <si>
    <t>DDURRG3M086SBEA</t>
  </si>
  <si>
    <t>ppi_natgas</t>
  </si>
  <si>
    <t>PPI: Natural Gas</t>
  </si>
  <si>
    <t>Raw-material prices react early to demand</t>
  </si>
  <si>
    <t>DNDGRG3M086SBEA</t>
  </si>
  <si>
    <t>DSERRG3M086SBEA</t>
  </si>
  <si>
    <t>ppi_crude_oil</t>
  </si>
  <si>
    <t>PPI: Crude Petroleum</t>
  </si>
  <si>
    <t>CES2000000008</t>
  </si>
  <si>
    <t>oil_price_real</t>
  </si>
  <si>
    <t>Real Crude Oil Price (WTI)</t>
  </si>
  <si>
    <t>CES3000000008</t>
  </si>
  <si>
    <t>ppi_crude_mat</t>
  </si>
  <si>
    <t>PPI: Crude Materials</t>
  </si>
  <si>
    <t>ppi_metals</t>
  </si>
  <si>
    <t>PPI: Metals &amp; Metal Products (Primary Nonferrous)</t>
  </si>
  <si>
    <t>cpi_apparel</t>
  </si>
  <si>
    <t>CPI: Apparel</t>
  </si>
  <si>
    <t>cpi_transport</t>
  </si>
  <si>
    <t>CPI: Transportation</t>
  </si>
  <si>
    <t>cpi_medical</t>
  </si>
  <si>
    <t>CPI: Medical Care</t>
  </si>
  <si>
    <t>cpi_commod</t>
  </si>
  <si>
    <t>CPI: Commodities</t>
  </si>
  <si>
    <t>cpi_durables</t>
  </si>
  <si>
    <t>CPI: Durables</t>
  </si>
  <si>
    <t>cpi_services</t>
  </si>
  <si>
    <t>CPI: Services</t>
  </si>
  <si>
    <t>cpi_ex_food</t>
  </si>
  <si>
    <t>CPI: All Items Less Food</t>
  </si>
  <si>
    <t>cpi_ex_shelter</t>
  </si>
  <si>
    <t>CPI: All Items Less Shelter</t>
  </si>
  <si>
    <t>cpi_ex_medical</t>
  </si>
  <si>
    <t>CPI: All Items Less Medical Care</t>
  </si>
  <si>
    <t>cpi_oer</t>
  </si>
  <si>
    <t>CPI: Owners' Equivalent Rent of Residences</t>
  </si>
  <si>
    <t>earn_hr_private</t>
  </si>
  <si>
    <t>7 - Earnings &amp; Productivity</t>
  </si>
  <si>
    <t>Real Avg Hourly Earnings: Production &amp; Nonsupervisory, Total Private</t>
  </si>
  <si>
    <t>Wages and labor costs adjust slowly</t>
  </si>
  <si>
    <t>earn_hr_constr</t>
  </si>
  <si>
    <t>Real Avg Hourly Earnings: Construction</t>
  </si>
  <si>
    <t>earn_hr_mfg</t>
  </si>
  <si>
    <t>Real Avg Hourly Earnings: Manufacturing</t>
  </si>
  <si>
    <t>comp_hr_mfg</t>
  </si>
  <si>
    <t>Manufacturing Sector: Real Compensation per Hour</t>
  </si>
  <si>
    <t>comp_hr_nfb</t>
  </si>
  <si>
    <t>Nonfarm Business Sector: Real Compensation per Hour</t>
  </si>
  <si>
    <t>comp_hr_bus</t>
  </si>
  <si>
    <t>Business Sector: Real Compensation per Hour</t>
  </si>
  <si>
    <t>prod_mfg</t>
  </si>
  <si>
    <t>Manufacturing Sector: Output per Hour (productivity)</t>
  </si>
  <si>
    <t>prod_nfb</t>
  </si>
  <si>
    <t>Nonfarm Business Sector: Output per Hour (productivity)</t>
  </si>
  <si>
    <t>prod_bus</t>
  </si>
  <si>
    <t>Business Sector: Output per Hour (productivity)</t>
  </si>
  <si>
    <t>ulc_bus</t>
  </si>
  <si>
    <t>Business Sector: Unit Labor Cost</t>
  </si>
  <si>
    <t>ulc_mfg</t>
  </si>
  <si>
    <t>Manufacturing Sector: Unit Labor Cost</t>
  </si>
  <si>
    <t>ulc_nfb</t>
  </si>
  <si>
    <t>Nonfarm Business Sector: Unit Labor Cost</t>
  </si>
  <si>
    <t>nonlabor_pay_nfb</t>
  </si>
  <si>
    <t>Nonfarm Business Sector: Unit Nonlabor Payments</t>
  </si>
  <si>
    <t>earn_hr_goods</t>
  </si>
  <si>
    <t>Avg Hourly Earnings: Goods-Producing</t>
  </si>
  <si>
    <t>rate_fedfunds</t>
  </si>
  <si>
    <t>8 - Interest Rates</t>
  </si>
  <si>
    <t>Effective Federal Funds Rate</t>
  </si>
  <si>
    <t>Fed policy reacts to past inflation/employment</t>
  </si>
  <si>
    <t>rate_tbill_3m</t>
  </si>
  <si>
    <t>3-Month Treasury Bill Rate</t>
  </si>
  <si>
    <t>Short rates track current policy stance</t>
  </si>
  <si>
    <t>rate_tbill_6m</t>
  </si>
  <si>
    <t>6-Month Treasury Bill Rate</t>
  </si>
  <si>
    <t>rate_tsy_1y</t>
  </si>
  <si>
    <t>1-Year Treasury Constant Maturity Rate</t>
  </si>
  <si>
    <t>Market yields reflect expected rates and risk</t>
  </si>
  <si>
    <t>rate_tsy_10y</t>
  </si>
  <si>
    <t>10-Year Treasury Constant Maturity Rate</t>
  </si>
  <si>
    <t>rate_mortgage_30y</t>
  </si>
  <si>
    <t>30-Year Fixed Rate Mortgage Average</t>
  </si>
  <si>
    <t>rate_corp_aaa</t>
  </si>
  <si>
    <t>Moody's Seasoned Aaa Corporate Bond Yield</t>
  </si>
  <si>
    <t>rate_corp_baa</t>
  </si>
  <si>
    <t>Moody's Seasoned Baa Corporate Bond Yield</t>
  </si>
  <si>
    <t>spr_baa_10y</t>
  </si>
  <si>
    <t>Spread: Baa Corporate Yield minus 10-Year Treasury</t>
  </si>
  <si>
    <t>Rate spreads / yield curve anticipate growth and credit stress</t>
  </si>
  <si>
    <t>Credit risk premium; moves with default risk and lending rates (loan_int_rate)</t>
  </si>
  <si>
    <t>spr_mort_10y</t>
  </si>
  <si>
    <t>Spread: 30-Year Mortgage Rate minus 10-Year Treasury</t>
  </si>
  <si>
    <t>spr_6m_3m</t>
  </si>
  <si>
    <t>Spread: 6-Month minus 3-Month T-Bill</t>
  </si>
  <si>
    <t>spr_1y_3m</t>
  </si>
  <si>
    <t>Spread: 1-Year Treasury minus 3-Month T-Bill</t>
  </si>
  <si>
    <t>spr_10y_3m</t>
  </si>
  <si>
    <t>Spread: 10-Year Treasury minus 3-Month T-Bill</t>
  </si>
  <si>
    <t>spr_cp_tbill</t>
  </si>
  <si>
    <t>Spread: 3-Month Commercial Paper minus 3-Month T-Bill</t>
  </si>
  <si>
    <t>rate_tsy_5y</t>
  </si>
  <si>
    <t>5-Year Treasury Constant Maturity Rate</t>
  </si>
  <si>
    <t>spr_3m_ff</t>
  </si>
  <si>
    <t>Spread: 3-Month T-Bill minus Fed Funds</t>
  </si>
  <si>
    <t>spr_5y_ff</t>
  </si>
  <si>
    <t>Spread: 5-Year Treasury minus Fed Funds</t>
  </si>
  <si>
    <t>spr_aaa_ff</t>
  </si>
  <si>
    <t>Spread: Moody's Aaa Corporate minus Fed Funds</t>
  </si>
  <si>
    <t>Table 3 - Column names of each dataset, color coded by variable type (red italic = target variable)</t>
  </si>
  <si>
    <t>rate_cp_3m</t>
  </si>
  <si>
    <t>3-Month AA Financial Commercial Paper Rate</t>
  </si>
  <si>
    <t>spr_cp_ff</t>
  </si>
  <si>
    <t>Spread: 3-Month Commercial Paper minus Fed Funds</t>
  </si>
  <si>
    <t>money_base_real</t>
  </si>
  <si>
    <t>9 - Money &amp; Credit</t>
  </si>
  <si>
    <t>Real Monetary Base</t>
  </si>
  <si>
    <t>money_m1_real</t>
  </si>
  <si>
    <t>Real M1 Money Stock</t>
  </si>
  <si>
    <t>Money growth precedes spending</t>
  </si>
  <si>
    <t>money_m2_real</t>
  </si>
  <si>
    <t>Real M2 Money Stock</t>
  </si>
  <si>
    <t>credit_ci_loans</t>
  </si>
  <si>
    <t>Real Commercial &amp; Industrial Loans</t>
  </si>
  <si>
    <t>Loan balances respond after spending/income</t>
  </si>
  <si>
    <t>credit_cons_banks</t>
  </si>
  <si>
    <t>Real Consumer Loans at All Commercial Banks</t>
  </si>
  <si>
    <t>credit_nonrevolving</t>
  </si>
  <si>
    <t>Real Nonrevolving Consumer Credit Outstanding</t>
  </si>
  <si>
    <t>Volume of nonrevolving consumer loans (personal/education/medical); ties to loan_amnt</t>
  </si>
  <si>
    <t>credit_real_estate</t>
  </si>
  <si>
    <t>Real Real Estate Loans at All Commercial Banks</t>
  </si>
  <si>
    <t>credit_revolving</t>
  </si>
  <si>
    <t>Real Revolving Consumer Credit Outstanding</t>
  </si>
  <si>
    <t>credit_cons_total</t>
  </si>
  <si>
    <t>Real Total Consumer Credit Outstanding</t>
  </si>
  <si>
    <t>credit_willing_cons</t>
  </si>
  <si>
    <t>Senior Loan Officer Survey: Net % of Banks More Willing to Make Consumer Installment Loans</t>
  </si>
  <si>
    <t>Lender survey on upcoming credit supply</t>
  </si>
  <si>
    <t>Banks' willingness to make consumer installment loans; ties to approval/loan_grade</t>
  </si>
  <si>
    <t>money_reserves</t>
  </si>
  <si>
    <t>Total Reserves of Depository Institutions</t>
  </si>
  <si>
    <t>money_reserves_nb</t>
  </si>
  <si>
    <t>Nonborrowed Reserves of Depository Institutions</t>
  </si>
  <si>
    <t>credit_auto_loans</t>
  </si>
  <si>
    <t>Consumer Motor Vehicle Loans Outstanding (finance companies)</t>
  </si>
  <si>
    <t>credit_cons_fincos</t>
  </si>
  <si>
    <t>Total Consumer Loans &amp; Leases Outstanding (finance companies)</t>
  </si>
  <si>
    <t>bank_securities</t>
  </si>
  <si>
    <t>Securities in Bank Credit at All Commercial Banks</t>
  </si>
  <si>
    <t>credit_to_income</t>
  </si>
  <si>
    <t>Nonrevolving Consumer Credit to Personal Income (ratio)</t>
  </si>
  <si>
    <t>Consumer credit-to-income ratio; macro analogue of loan_percent_income</t>
  </si>
  <si>
    <t>hh_assets</t>
  </si>
  <si>
    <t>10 - Household Balance Sheets</t>
  </si>
  <si>
    <t>Real Total Assets of Households &amp; Nonprofits</t>
  </si>
  <si>
    <t>Balance sheets reflect accumulated past activity</t>
  </si>
  <si>
    <t>hh_liabilities</t>
  </si>
  <si>
    <t>Real Total Liabilities of Households &amp; Nonprofits</t>
  </si>
  <si>
    <t>hh_debt_to_income</t>
  </si>
  <si>
    <t>Household Liabilities to Personal Income (ratio)</t>
  </si>
  <si>
    <t>Household debt-to-income; aggregate borrower leverage, like loan_percent_income</t>
  </si>
  <si>
    <t>hh_net_worth</t>
  </si>
  <si>
    <t>Real Net Worth of Households &amp; Nonprofits</t>
  </si>
  <si>
    <t>hh_nw_to_income</t>
  </si>
  <si>
    <t>Household Net Worth to Personal Income (ratio)</t>
  </si>
  <si>
    <t>hh_assets_ex_re</t>
  </si>
  <si>
    <t>Real Household Assets excluding Real Estate</t>
  </si>
  <si>
    <t>hh_real_estate</t>
  </si>
  <si>
    <t>Real Household Real Estate Assets (market value)</t>
  </si>
  <si>
    <t>hh_fin_assets</t>
  </si>
  <si>
    <t>Real Total Financial Assets of Households &amp; Nonprofits</t>
  </si>
  <si>
    <t>fx_usd_broad</t>
  </si>
  <si>
    <t>11 - Exchange Rates</t>
  </si>
  <si>
    <t>Trade-Weighted U.S. Dollar Index (broad)</t>
  </si>
  <si>
    <t>fx_usd_eur</t>
  </si>
  <si>
    <t>U.S. Dollars per Euro</t>
  </si>
  <si>
    <t>fx_chf_usd</t>
  </si>
  <si>
    <t>Swiss Francs per U.S. Dollar</t>
  </si>
  <si>
    <t>fx_jpy_usd</t>
  </si>
  <si>
    <t>Japanese Yen per U.S. Dollar</t>
  </si>
  <si>
    <t>fx_usd_gbp</t>
  </si>
  <si>
    <t>U.S. Dollars per British Pound</t>
  </si>
  <si>
    <t>fx_cad_usd</t>
  </si>
  <si>
    <t>Canadian Dollars per U.S. Dollar</t>
  </si>
  <si>
    <t>sent_consumer</t>
  </si>
  <si>
    <t>12 - Other</t>
  </si>
  <si>
    <t>University of Michigan Consumer Sentiment</t>
  </si>
  <si>
    <t>Survey/expectations measure</t>
  </si>
  <si>
    <t>uncert_policy</t>
  </si>
  <si>
    <t>Economic Policy Uncertainty Index</t>
  </si>
  <si>
    <t>gov_debt_gdp</t>
  </si>
  <si>
    <t>Federal Debt as % of GDP</t>
  </si>
  <si>
    <t>Debt accumulates from past deficits</t>
  </si>
  <si>
    <t>gov_debt_real</t>
  </si>
  <si>
    <t>Real Federal Debt (total public debt)</t>
  </si>
  <si>
    <t>stk_vix</t>
  </si>
  <si>
    <t>13 - Stock Markets</t>
  </si>
  <si>
    <t>CBOE Volatility Index (VIX)</t>
  </si>
  <si>
    <t>Markets price in expected future conditions</t>
  </si>
  <si>
    <t>stk_nikkei</t>
  </si>
  <si>
    <t>Nikkei 225 Stock Average</t>
  </si>
  <si>
    <t>stk_nasdaq</t>
  </si>
  <si>
    <t>NASDAQ Composite Index</t>
  </si>
  <si>
    <t>stk_sp500</t>
  </si>
  <si>
    <t>S&amp;P 500 Composite Index</t>
  </si>
  <si>
    <t>stk_sp_divyield</t>
  </si>
  <si>
    <t>S&amp;P 500 Dividend Yield</t>
  </si>
  <si>
    <t>stk_sp_pe</t>
  </si>
  <si>
    <t>S&amp;P 500 Price-Earnings Ratio</t>
  </si>
  <si>
    <t>nfc_liabilities</t>
  </si>
  <si>
    <t>14 - Non-Household Balance Sheets</t>
  </si>
  <si>
    <t>Real Total Liabilities: Nonfinancial Corporate Business</t>
  </si>
  <si>
    <t>nfc_liab_to_income</t>
  </si>
  <si>
    <t>Nonfinancial Corporate Liabilities to Disposable Business Income</t>
  </si>
  <si>
    <t>nfc_assets</t>
  </si>
  <si>
    <t>Real Total Assets: Nonfinancial Corporate Business</t>
  </si>
  <si>
    <t>nfc_net_worth</t>
  </si>
  <si>
    <t>Real Net Worth (market value): Nonfinancial Corporate Business</t>
  </si>
  <si>
    <t>nfc_nw_to_income</t>
  </si>
  <si>
    <t>Nonfinancial Corporate Net Worth to Disposable Business Income</t>
  </si>
  <si>
    <t>nfnc_liabilities</t>
  </si>
  <si>
    <t>Real Total Liabilities: Nonfinancial Noncorporate Business</t>
  </si>
  <si>
    <t>nfnc_liab_to_income</t>
  </si>
  <si>
    <t>Nonfinancial Noncorporate Liabilities to Disposable Business Income</t>
  </si>
  <si>
    <t>nfnc_assets</t>
  </si>
  <si>
    <t>Real Total Assets: Nonfinancial Noncorporate Business</t>
  </si>
  <si>
    <t>nfnc_net_worth</t>
  </si>
  <si>
    <t>Real Net Worth: Nonfinancial Noncorporate Business</t>
  </si>
  <si>
    <t>nfnc_nw_to_income</t>
  </si>
  <si>
    <t>Nonfinancial Noncorporate Net Worth to Disposable Business Income</t>
  </si>
  <si>
    <t>nfc_cash_flow</t>
  </si>
  <si>
    <t>Real Disposable Business Income (corporate net cash flow)</t>
  </si>
  <si>
    <t>income_real</t>
  </si>
  <si>
    <t>1 - Output &amp; Income</t>
  </si>
  <si>
    <t>Real Personal Income</t>
  </si>
  <si>
    <t>income_ex_transfers</t>
  </si>
  <si>
    <t>Real Personal Income excluding Transfer Receipts</t>
  </si>
  <si>
    <t>ip_final_nonind</t>
  </si>
  <si>
    <t>IP: Final Products and Nonindustrial Supplies</t>
  </si>
  <si>
    <t>2 - Labor Market</t>
  </si>
  <si>
    <t>Help-Wanted Index for United States</t>
  </si>
  <si>
    <t>lf_civilian</t>
  </si>
  <si>
    <t>Civilian Labor Force</t>
  </si>
  <si>
    <t>unemp_15wk_plus</t>
  </si>
  <si>
    <t>Number Unemployed: 15 weeks and over</t>
  </si>
  <si>
    <t>All Employees: Mining &amp; Logging: Mining</t>
  </si>
  <si>
    <t>Avg Hourly Earnings: Construction</t>
  </si>
  <si>
    <t>Avg Hourly Earnings: Manufacturing</t>
  </si>
  <si>
    <t>3 - Housing</t>
  </si>
  <si>
    <t>4 - Consumption, Orders &amp; Inventories</t>
  </si>
  <si>
    <t>Retail &amp; Food Services Sales</t>
  </si>
  <si>
    <t>money_m1</t>
  </si>
  <si>
    <t>5 - Money &amp; Credit</t>
  </si>
  <si>
    <t>M1 Money Stock</t>
  </si>
  <si>
    <t>money_m2</t>
  </si>
  <si>
    <t>M2 Money Stock</t>
  </si>
  <si>
    <t>money_base</t>
  </si>
  <si>
    <t>Monetary Base</t>
  </si>
  <si>
    <t>Commercial &amp; Industrial Loans</t>
  </si>
  <si>
    <t>Real Estate Loans at All Commercial Banks</t>
  </si>
  <si>
    <t>Total Nonrevolving Consumer Credit Outstanding</t>
  </si>
  <si>
    <t>Total consumer loans &amp; leases at finance companies; consumer borrowing demand</t>
  </si>
  <si>
    <t>6 - Interest &amp; Exchange Rates</t>
  </si>
  <si>
    <t>spr_6m_ff</t>
  </si>
  <si>
    <t>Spread: 6-Month T-Bill minus Fed Funds</t>
  </si>
  <si>
    <t>spr_1y_ff</t>
  </si>
  <si>
    <t>Spread: 1-Year Treasury minus Fed Funds</t>
  </si>
  <si>
    <t>spr_10y_ff</t>
  </si>
  <si>
    <t>Spread: 10-Year Treasury minus Fed Funds</t>
  </si>
  <si>
    <t>spr_baa_ff</t>
  </si>
  <si>
    <t>Spread: Moody's Baa Corporate minus Fed Funds</t>
  </si>
  <si>
    <t>Baa credit spread over Fed Funds; proxy for default risk premium (loan_int_rate)</t>
  </si>
  <si>
    <t>7 - Prices</t>
  </si>
  <si>
    <t>8 - Stock Market</t>
  </si>
  <si>
    <t>FRED add-on</t>
  </si>
  <si>
    <t>DROCLACBS</t>
  </si>
  <si>
    <t>dq_other_cons</t>
  </si>
  <si>
    <t>Credit Performance (add-on)</t>
  </si>
  <si>
    <t>Delinquency Rate on Other Consumer Loans (non-credit-card), All Commercial Banks (%, SA)</t>
  </si>
  <si>
    <t>Defaults appear after borrowers are hit by a downturn</t>
  </si>
  <si>
    <t>Closest match to loan_status: share of installment loans (personal/education/medical-type) 30+ days past due</t>
  </si>
  <si>
    <t>Q1 1991 – present (quarterly)</t>
  </si>
  <si>
    <t>DRCLACBS</t>
  </si>
  <si>
    <t>dq_consumer</t>
  </si>
  <si>
    <t>Delinquency Rate on Consumer Loans, All Commercial Banks (%, SA)</t>
  </si>
  <si>
    <t>Share of all consumer loans past due; broader version of loan_status</t>
  </si>
  <si>
    <t>Q1 1987 – present (quarterly)</t>
  </si>
  <si>
    <t>COROCLACBS</t>
  </si>
  <si>
    <t>co_other_cons</t>
  </si>
  <si>
    <t>Charge-Off Rate on Other Consumer Loans, All Commercial Banks (%, SA)</t>
  </si>
  <si>
    <t>Share of installment loans written off as losses; closest to a true default</t>
  </si>
  <si>
    <t>Q1 1985 – present (quarterly)</t>
  </si>
  <si>
    <t>CORCACBS</t>
  </si>
  <si>
    <t>co_consumer</t>
  </si>
  <si>
    <t>Charge-Off Rate on Consumer Loans, All Commercial Banks (%, SA)</t>
  </si>
  <si>
    <t>Share of all consumer loans written off as losses</t>
  </si>
  <si>
    <t>Groups follow the McCracken &amp; Ng FRED-QD (14 groups) and FRED-MD (8 groups) appendices, so group numbers differ between QD and MD.</t>
  </si>
  <si>
    <t>A trailing "x" in an original name means McCracken &amp; Ng adjusted/spliced the FRED series (often deflated to real terms).</t>
  </si>
  <si>
    <t>FRED add-on rows (yellow) are NOT in the QD/MD CSVs: download them from fred.stlouisfed.org and join on sasdate (quarterly, so they align with QD; for MD, repeat each quarter across its 3 months or aggregate MD to quarterly).</t>
  </si>
  <si>
    <t>Data availability: FRED-QD/MD start in 1959, but bank delinquency/charge-off rates only start 1985–1991, so a model using them as the target is limited to ~1985 onward (~160 quarters, or ~140 from 1991 for DROCLACBS).</t>
  </si>
  <si>
    <t>Long-history stand-ins back to 1959 that are already in QD/MD: BAA10YM / BAAFFM (default-risk spread) and UNRATE (main driver of consumer defaults).</t>
  </si>
  <si>
    <t>Indicator timing (conventional business-cycle classification, Conference Board/NBER style): Leading = tends to turn BEFORE the economy (useful as forecasting features); Coincident = moves WITH it; Lagging = turns AFTER it. Lagging series such as delinquency/charge-off rates make natural targets, and leading series are the best candidates to predict them.</t>
  </si>
  <si>
    <t>Time-series caution: when modeling, use lagged values (e.g. t-1, t-2) of features and a chronological train/test split, so no future information leaks into training.</t>
  </si>
  <si>
    <t>New-name prefixes: dq_ = delinquency rate, co_ = charge-off rate, px_ / cpi_ / ppi_ = prices, rate_ = interest rate, spr_ = rate spread, hh_ = household, nfc_ / nfnc_ = nonfinancial (non)corporate business, stk_ = stock market.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</si>
</sst>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1.0"/>
      <color rgb="FFFFFFFF"/>
      <name val="Times New Roman"/>
    </font>
    <font>
      <i/>
      <sz val="10.0"/>
      <color theme="1"/>
      <name val="Times New Roman"/>
    </font>
    <font>
      <sz val="11.0"/>
      <color rgb="FF000000"/>
      <name val="Times New Roman"/>
    </font>
    <font>
      <b/>
      <sz val="11.0"/>
      <color rgb="FFFFFFFF"/>
      <name val="&quot;Times New Roman&quot;"/>
    </font>
    <font>
      <sz val="11.0"/>
      <color rgb="FF0000FF"/>
      <name val="Times New Roman"/>
    </font>
    <font>
      <sz val="11.0"/>
      <color theme="1"/>
      <name val="Times New Roman"/>
    </font>
    <font>
      <b/>
      <sz val="11.0"/>
      <color theme="1"/>
      <name val="&quot;Times New Roman&quot;"/>
    </font>
    <font>
      <color theme="1"/>
      <name val="&quot;Times New Roman&quot;"/>
    </font>
    <font>
      <b/>
      <sz val="11.0"/>
      <color theme="1"/>
      <name val="Times New Roman"/>
    </font>
    <font>
      <sz val="11.0"/>
      <color theme="1"/>
      <name val="Calibri"/>
    </font>
    <font>
      <b/>
      <i/>
      <sz val="11.0"/>
      <color rgb="FFFF0000"/>
      <name val="Times New Roman"/>
    </font>
    <font>
      <sz val="11.0"/>
      <color rgb="FFFF0000"/>
      <name val="Times New Roman"/>
    </font>
    <font>
      <b/>
      <i/>
      <u/>
      <sz val="11.0"/>
      <color rgb="FF0000FF"/>
      <name val="Times New Roman"/>
    </font>
    <font>
      <sz val="11.0"/>
      <color rgb="FF000000"/>
      <name val="Calibri"/>
    </font>
    <font>
      <i/>
      <sz val="10.0"/>
      <color rgb="FFFF0000"/>
      <name val="Times New Roman"/>
    </font>
    <font>
      <color rgb="FFFF0000"/>
      <name val="Calibri"/>
      <scheme val="minor"/>
    </font>
    <font>
      <color theme="1"/>
      <name val="Calibri"/>
      <scheme val="minor"/>
    </font>
    <font>
      <i/>
      <color theme="1"/>
      <name val="&quot;Times New Roman&quot;"/>
    </font>
  </fonts>
  <fills count="17">
    <fill>
      <patternFill patternType="none"/>
    </fill>
    <fill>
      <patternFill patternType="lightGray"/>
    </fill>
    <fill>
      <patternFill patternType="solid">
        <fgColor rgb="FF5F6B7A"/>
        <bgColor rgb="FF5F6B7A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DEBF7"/>
        <bgColor rgb="FFDDEBF7"/>
      </patternFill>
    </fill>
    <fill>
      <patternFill patternType="solid">
        <fgColor rgb="FFCFE2F3"/>
        <bgColor rgb="FFCFE2F3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horizontal="right" shrinkToFit="0" vertical="center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2" fontId="4" numFmtId="0" xfId="0" applyAlignment="1" applyBorder="1" applyFill="1" applyFont="1">
      <alignment readingOrder="0"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5" fontId="3" numFmtId="0" xfId="0" applyAlignment="1" applyBorder="1" applyFill="1" applyFont="1">
      <alignment shrinkToFit="0" vertical="top" wrapText="0"/>
    </xf>
    <xf borderId="1" fillId="6" fontId="5" numFmtId="0" xfId="0" applyAlignment="1" applyBorder="1" applyFill="1" applyFont="1">
      <alignment shrinkToFit="0" vertical="bottom" wrapText="0"/>
    </xf>
    <xf borderId="1" fillId="0" fontId="3" numFmtId="3" xfId="0" applyAlignment="1" applyBorder="1" applyFont="1" applyNumberFormat="1">
      <alignment horizontal="right" shrinkToFit="0" vertical="bottom" wrapText="0"/>
    </xf>
    <xf borderId="1" fillId="5" fontId="3" numFmtId="0" xfId="0" applyAlignment="1" applyBorder="1" applyFill="1" applyFont="1">
      <alignment shrinkToFit="0" vertical="top" wrapText="1"/>
    </xf>
    <xf borderId="1" fillId="7" fontId="7" numFmtId="0" xfId="0" applyAlignment="1" applyBorder="1" applyFill="1" applyFont="1">
      <alignment readingOrder="0" shrinkToFit="0" vertical="top" wrapText="0"/>
    </xf>
    <xf borderId="1" fillId="8" fontId="5" numFmtId="0" xfId="0" applyAlignment="1" applyBorder="1" applyFill="1" applyFont="1">
      <alignment shrinkToFit="0" vertical="bottom" wrapText="0"/>
    </xf>
    <xf borderId="1" fillId="5" fontId="8" numFmtId="0" xfId="0" applyAlignment="1" applyBorder="1" applyFill="1" applyFont="1">
      <alignment readingOrder="0" vertical="top"/>
    </xf>
    <xf borderId="1" fillId="9" fontId="3" numFmtId="0" xfId="0" applyAlignment="1" applyBorder="1" applyFill="1" applyFont="1">
      <alignment shrinkToFit="0" vertical="top" wrapText="0"/>
    </xf>
    <xf borderId="1" fillId="7" fontId="3" numFmtId="0" xfId="0" applyAlignment="1" applyBorder="1" applyFill="1" applyFont="1">
      <alignment shrinkToFit="0" vertical="top" wrapText="0"/>
    </xf>
    <xf borderId="1" fillId="7" fontId="3" numFmtId="0" xfId="0" applyAlignment="1" applyBorder="1" applyFill="1" applyFont="1">
      <alignment shrinkToFit="0" vertical="top" wrapText="1"/>
    </xf>
    <xf borderId="1" fillId="10" fontId="5" numFmtId="0" xfId="0" applyAlignment="1" applyBorder="1" applyFill="1" applyFont="1">
      <alignment shrinkToFit="0" vertical="bottom" wrapText="0"/>
    </xf>
    <xf borderId="1" fillId="11" fontId="7" numFmtId="0" xfId="0" applyAlignment="1" applyBorder="1" applyFill="1" applyFont="1">
      <alignment readingOrder="0" shrinkToFit="0" vertical="top" wrapText="0"/>
    </xf>
    <xf borderId="1" fillId="7" fontId="8" numFmtId="0" xfId="0" applyAlignment="1" applyBorder="1" applyFill="1" applyFont="1">
      <alignment readingOrder="0" vertical="top"/>
    </xf>
    <xf borderId="1" fillId="4" fontId="3" numFmtId="0" xfId="0" applyAlignment="1" applyBorder="1" applyFill="1" applyFont="1">
      <alignment shrinkToFit="0" vertical="top" wrapText="0"/>
    </xf>
    <xf borderId="1" fillId="12" fontId="5" numFmtId="0" xfId="0" applyAlignment="1" applyBorder="1" applyFill="1" applyFont="1">
      <alignment shrinkToFit="0" vertical="bottom" wrapText="0"/>
    </xf>
    <xf borderId="1" fillId="9" fontId="5" numFmtId="0" xfId="0" applyAlignment="1" applyBorder="1" applyFill="1" applyFont="1">
      <alignment shrinkToFit="0" vertical="bottom" wrapText="0"/>
    </xf>
    <xf borderId="1" fillId="0" fontId="5" numFmtId="3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1" fillId="10" fontId="6" numFmtId="0" xfId="0" applyAlignment="1" applyBorder="1" applyFill="1" applyFont="1">
      <alignment shrinkToFit="0" vertical="bottom" wrapText="0"/>
    </xf>
    <xf borderId="1" fillId="13" fontId="7" numFmtId="0" xfId="0" applyAlignment="1" applyBorder="1" applyFill="1" applyFont="1">
      <alignment readingOrder="0" shrinkToFit="0" vertical="top" wrapText="0"/>
    </xf>
    <xf borderId="1" fillId="0" fontId="6" numFmtId="0" xfId="0" applyAlignment="1" applyBorder="1" applyFont="1">
      <alignment horizontal="right"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shrinkToFit="0" vertical="bottom" wrapText="0"/>
    </xf>
    <xf borderId="1" fillId="8" fontId="6" numFmtId="0" xfId="0" applyAlignment="1" applyBorder="1" applyFill="1" applyFont="1">
      <alignment shrinkToFit="0" vertical="bottom" wrapText="0"/>
    </xf>
    <xf borderId="1" fillId="12" fontId="6" numFmtId="0" xfId="0" applyAlignment="1" applyBorder="1" applyFill="1" applyFont="1">
      <alignment shrinkToFit="0" vertical="bottom" wrapText="0"/>
    </xf>
    <xf borderId="1" fillId="14" fontId="7" numFmtId="0" xfId="0" applyAlignment="1" applyBorder="1" applyFill="1" applyFont="1">
      <alignment readingOrder="0" shrinkToFit="0" vertical="top" wrapText="0"/>
    </xf>
    <xf borderId="1" fillId="9" fontId="6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right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12" fontId="3" numFmtId="0" xfId="0" applyAlignment="1" applyBorder="1" applyFill="1" applyFont="1">
      <alignment shrinkToFit="0" vertical="bottom" wrapText="0"/>
    </xf>
    <xf borderId="1" fillId="9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6" fontId="3" numFmtId="0" xfId="0" applyAlignment="1" applyBorder="1" applyFill="1" applyFont="1">
      <alignment shrinkToFit="0" vertical="bottom" wrapText="0"/>
    </xf>
    <xf borderId="1" fillId="8" fontId="3" numFmtId="0" xfId="0" applyAlignment="1" applyBorder="1" applyFill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10" fontId="11" numFmtId="0" xfId="0" applyAlignment="1" applyBorder="1" applyFill="1" applyFont="1">
      <alignment shrinkToFit="0" vertical="bottom" wrapText="0"/>
    </xf>
    <xf borderId="1" fillId="10" fontId="3" numFmtId="0" xfId="0" applyAlignment="1" applyBorder="1" applyFill="1" applyFont="1">
      <alignment shrinkToFit="0" vertical="bottom" wrapText="0"/>
    </xf>
    <xf borderId="1" fillId="4" fontId="11" numFmtId="0" xfId="0" applyAlignment="1" applyBorder="1" applyFill="1" applyFont="1">
      <alignment shrinkToFit="0" vertical="bottom" wrapText="0"/>
    </xf>
    <xf borderId="1" fillId="5" fontId="11" numFmtId="0" xfId="0" applyAlignment="1" applyBorder="1" applyFill="1" applyFont="1">
      <alignment shrinkToFit="0" vertical="top" wrapText="0"/>
    </xf>
    <xf borderId="1" fillId="5" fontId="12" numFmtId="0" xfId="0" applyAlignment="1" applyBorder="1" applyFill="1" applyFont="1">
      <alignment shrinkToFit="0" vertical="top" wrapText="0"/>
    </xf>
    <xf borderId="1" fillId="7" fontId="11" numFmtId="0" xfId="0" applyAlignment="1" applyBorder="1" applyFill="1" applyFont="1">
      <alignment shrinkToFit="0" vertical="top" wrapText="0"/>
    </xf>
    <xf borderId="1" fillId="7" fontId="12" numFmtId="0" xfId="0" applyAlignment="1" applyBorder="1" applyFill="1" applyFont="1">
      <alignment shrinkToFit="0" vertical="top" wrapText="0"/>
    </xf>
    <xf borderId="1" fillId="9" fontId="13" numFmtId="0" xfId="0" applyAlignment="1" applyBorder="1" applyFill="1" applyFont="1">
      <alignment readingOrder="0" shrinkToFit="0" vertical="top" wrapText="0"/>
    </xf>
    <xf borderId="1" fillId="9" fontId="11" numFmtId="0" xfId="0" applyAlignment="1" applyBorder="1" applyFill="1" applyFont="1">
      <alignment shrinkToFit="0" vertical="top" wrapText="0"/>
    </xf>
    <xf borderId="1" fillId="9" fontId="3" numFmtId="0" xfId="0" applyAlignment="1" applyBorder="1" applyFill="1" applyFont="1">
      <alignment shrinkToFit="0" vertical="top" wrapText="1"/>
    </xf>
    <xf borderId="1" fillId="9" fontId="8" numFmtId="0" xfId="0" applyAlignment="1" applyBorder="1" applyFill="1" applyFont="1">
      <alignment readingOrder="0" vertical="top"/>
    </xf>
    <xf borderId="1" fillId="9" fontId="12" numFmtId="0" xfId="0" applyAlignment="1" applyBorder="1" applyFill="1" applyFont="1">
      <alignment shrinkToFit="0" vertical="top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Font="1"/>
    <xf borderId="0" fillId="15" fontId="2" numFmtId="0" xfId="0" applyAlignment="1" applyFill="1" applyFont="1">
      <alignment shrinkToFit="0" vertical="bottom" wrapText="0"/>
    </xf>
    <xf borderId="0" fillId="15" fontId="17" numFmtId="0" xfId="0" applyFill="1" applyFont="1"/>
    <xf borderId="0" fillId="16" fontId="2" numFmtId="0" xfId="0" applyAlignment="1" applyFill="1" applyFont="1">
      <alignment shrinkToFit="0" vertical="bottom" wrapText="0"/>
    </xf>
    <xf borderId="0" fillId="16" fontId="17" numFmtId="0" xfId="0" applyFill="1" applyFont="1"/>
    <xf borderId="0" fillId="0" fontId="1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DROCLACBS" TargetMode="External"/><Relationship Id="rId2" Type="http://schemas.openxmlformats.org/officeDocument/2006/relationships/hyperlink" Target="https://fred.stlouisfed.org/series/DRCLACBS" TargetMode="External"/><Relationship Id="rId3" Type="http://schemas.openxmlformats.org/officeDocument/2006/relationships/hyperlink" Target="https://fred.stlouisfed.org/series/COROCLACBS" TargetMode="External"/><Relationship Id="rId4" Type="http://schemas.openxmlformats.org/officeDocument/2006/relationships/hyperlink" Target="https://fred.stlouisfed.org/series/CORCACBS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24.0"/>
    <col customWidth="1" min="6" max="26" width="8.71"/>
  </cols>
  <sheetData>
    <row r="1">
      <c r="A1" s="1" t="s">
        <v>0</v>
      </c>
      <c r="B1" s="3" t="s">
        <v>2</v>
      </c>
      <c r="C1" s="3" t="s">
        <v>11</v>
      </c>
      <c r="D1" s="3" t="s">
        <v>13</v>
      </c>
      <c r="E1" s="3" t="s">
        <v>15</v>
      </c>
    </row>
    <row r="2">
      <c r="A2" s="8" t="s">
        <v>17</v>
      </c>
      <c r="B2" s="13">
        <f>COUNTIFS('Column Type Key'!$A$2:$A$392,"credit risk",'Column Type Key'!$D$2:$D$392,"Y")</f>
        <v>1</v>
      </c>
      <c r="C2" s="13">
        <f>COUNTIFS('Column Type Key'!$A$2:$A$392,"bank customers",'Column Type Key'!$D$2:$D$392,"Y")</f>
        <v>0</v>
      </c>
      <c r="D2" s="13">
        <f>COUNTIFS('Column Type Key'!$A$2:$A$392,"FRED-QD",'Column Type Key'!$D$2:$D$392,"Y")</f>
        <v>5</v>
      </c>
      <c r="E2" s="13">
        <f>COUNTIFS('Column Type Key'!$A$2:$A$392,"FRED-MD",'Column Type Key'!$D$2:$D$392,"Y")</f>
        <v>4</v>
      </c>
    </row>
    <row r="3">
      <c r="A3" s="8" t="s">
        <v>43</v>
      </c>
      <c r="B3" s="13">
        <f>COUNTIF('Column Type Key'!$A$2:$A$392,"credit risk")</f>
        <v>12</v>
      </c>
      <c r="C3" s="13">
        <f>COUNTIF('Column Type Key'!$A$2:$A$392,"bank customers")</f>
        <v>6</v>
      </c>
      <c r="D3" s="13">
        <f>COUNTIF('Column Type Key'!$A$2:$A$392,"FRED-QD")</f>
        <v>246</v>
      </c>
      <c r="E3" s="13">
        <f>COUNTIF('Column Type Key'!$A$2:$A$392,"FRED-MD")</f>
        <v>127</v>
      </c>
    </row>
    <row r="4">
      <c r="A4" s="8" t="s">
        <v>66</v>
      </c>
      <c r="B4" s="27">
        <v>32581.0</v>
      </c>
      <c r="C4" s="27">
        <v>100.0</v>
      </c>
      <c r="D4" s="27">
        <v>269.0</v>
      </c>
      <c r="E4" s="27">
        <v>806.0</v>
      </c>
    </row>
    <row r="5">
      <c r="A5" s="28" t="s">
        <v>73</v>
      </c>
    </row>
    <row r="7">
      <c r="A7" s="1" t="s">
        <v>75</v>
      </c>
      <c r="B7" s="3" t="s">
        <v>2</v>
      </c>
      <c r="C7" s="3" t="s">
        <v>11</v>
      </c>
      <c r="D7" s="3" t="s">
        <v>13</v>
      </c>
      <c r="E7" s="3" t="s">
        <v>15</v>
      </c>
    </row>
    <row r="8">
      <c r="A8" s="29" t="s">
        <v>44</v>
      </c>
      <c r="B8" s="31">
        <f>COUNTIFS('Column Type Key'!$A$2:$A$392,"credit risk",'Column Type Key'!$C$2:$C$392,"discrete (binary)")</f>
        <v>2</v>
      </c>
      <c r="C8" s="31">
        <f>COUNTIFS('Column Type Key'!$A$2:$A$392,"bank customers",'Column Type Key'!$C$2:$C$392,"discrete (binary)")</f>
        <v>0</v>
      </c>
      <c r="D8" s="31">
        <f>COUNTIFS('Column Type Key'!$A$2:$A$392,"FRED-QD",'Column Type Key'!$C$2:$C$392,"discrete (binary)")</f>
        <v>0</v>
      </c>
      <c r="E8" s="31">
        <f>COUNTIFS('Column Type Key'!$A$2:$A$392,"FRED-MD",'Column Type Key'!$C$2:$C$392,"discrete (binary)")</f>
        <v>0</v>
      </c>
    </row>
    <row r="9">
      <c r="A9" s="32" t="s">
        <v>16</v>
      </c>
      <c r="B9" s="31">
        <f>COUNTIFS('Column Type Key'!$A$2:$A$392,"credit risk",'Column Type Key'!$C$2:$C$392,"discrete (integer)")</f>
        <v>3</v>
      </c>
      <c r="C9" s="31">
        <f>COUNTIFS('Column Type Key'!$A$2:$A$392,"bank customers",'Column Type Key'!$C$2:$C$392,"discrete (integer)")</f>
        <v>0</v>
      </c>
      <c r="D9" s="31">
        <f>COUNTIFS('Column Type Key'!$A$2:$A$392,"FRED-QD",'Column Type Key'!$C$2:$C$392,"discrete (integer)")</f>
        <v>0</v>
      </c>
      <c r="E9" s="31">
        <f>COUNTIFS('Column Type Key'!$A$2:$A$392,"FRED-MD",'Column Type Key'!$C$2:$C$392,"discrete (integer)")</f>
        <v>0</v>
      </c>
    </row>
    <row r="10">
      <c r="A10" s="33" t="s">
        <v>23</v>
      </c>
      <c r="B10" s="31">
        <f>COUNTIFS('Column Type Key'!$A$2:$A$392,"credit risk",'Column Type Key'!$C$2:$C$392,"numeric continuous")</f>
        <v>4</v>
      </c>
      <c r="C10" s="31">
        <f>COUNTIFS('Column Type Key'!$A$2:$A$392,"bank customers",'Column Type Key'!$C$2:$C$392,"numeric continuous")</f>
        <v>0</v>
      </c>
      <c r="D10" s="31">
        <f>COUNTIFS('Column Type Key'!$A$2:$A$392,"FRED-QD",'Column Type Key'!$C$2:$C$392,"numeric continuous")</f>
        <v>245</v>
      </c>
      <c r="E10" s="31">
        <f>COUNTIFS('Column Type Key'!$A$2:$A$392,"FRED-MD",'Column Type Key'!$C$2:$C$392,"numeric continuous")</f>
        <v>126</v>
      </c>
    </row>
    <row r="11">
      <c r="A11" s="34" t="s">
        <v>25</v>
      </c>
      <c r="B11" s="31">
        <f>COUNTIFS('Column Type Key'!$A$2:$A$392,"credit risk",'Column Type Key'!$C$2:$C$392,"categorical (nominal)")</f>
        <v>2</v>
      </c>
      <c r="C11" s="31">
        <f>COUNTIFS('Column Type Key'!$A$2:$A$392,"bank customers",'Column Type Key'!$C$2:$C$392,"categorical (nominal)")</f>
        <v>1</v>
      </c>
      <c r="D11" s="31">
        <f>COUNTIFS('Column Type Key'!$A$2:$A$392,"FRED-QD",'Column Type Key'!$C$2:$C$392,"categorical (nominal)")</f>
        <v>0</v>
      </c>
      <c r="E11" s="31">
        <f>COUNTIFS('Column Type Key'!$A$2:$A$392,"FRED-MD",'Column Type Key'!$C$2:$C$392,"categorical (nominal)")</f>
        <v>0</v>
      </c>
    </row>
    <row r="12">
      <c r="A12" s="35" t="s">
        <v>34</v>
      </c>
      <c r="B12" s="31">
        <f>COUNTIFS('Column Type Key'!$A$2:$A$392,"credit risk",'Column Type Key'!$C$2:$C$392,"categorical (ordinal)")</f>
        <v>1</v>
      </c>
      <c r="C12" s="31">
        <f>COUNTIFS('Column Type Key'!$A$2:$A$392,"bank customers",'Column Type Key'!$C$2:$C$392,"categorical (ordinal)")</f>
        <v>0</v>
      </c>
      <c r="D12" s="31">
        <f>COUNTIFS('Column Type Key'!$A$2:$A$392,"FRED-QD",'Column Type Key'!$C$2:$C$392,"categorical (ordinal)")</f>
        <v>0</v>
      </c>
      <c r="E12" s="31">
        <f>COUNTIFS('Column Type Key'!$A$2:$A$392,"FRED-MD",'Column Type Key'!$C$2:$C$392,"categorical (ordinal)")</f>
        <v>0</v>
      </c>
    </row>
    <row r="13">
      <c r="A13" s="36" t="s">
        <v>56</v>
      </c>
      <c r="B13" s="31">
        <f>COUNTIFS('Column Type Key'!$A$2:$A$392,"credit risk",'Column Type Key'!$C$2:$C$392,"identifier")</f>
        <v>0</v>
      </c>
      <c r="C13" s="31">
        <f>COUNTIFS('Column Type Key'!$A$2:$A$392,"bank customers",'Column Type Key'!$C$2:$C$392,"identifier")</f>
        <v>3</v>
      </c>
      <c r="D13" s="31">
        <f>COUNTIFS('Column Type Key'!$A$2:$A$392,"FRED-QD",'Column Type Key'!$C$2:$C$392,"identifier")</f>
        <v>0</v>
      </c>
      <c r="E13" s="31">
        <f>COUNTIFS('Column Type Key'!$A$2:$A$392,"FRED-MD",'Column Type Key'!$C$2:$C$392,"identifier")</f>
        <v>0</v>
      </c>
    </row>
    <row r="14">
      <c r="A14" s="38" t="s">
        <v>27</v>
      </c>
      <c r="B14" s="31">
        <f>COUNTIFS('Column Type Key'!$A$2:$A$392,"credit risk",'Column Type Key'!$C$2:$C$392,"date")</f>
        <v>0</v>
      </c>
      <c r="C14" s="31">
        <f>COUNTIFS('Column Type Key'!$A$2:$A$392,"bank customers",'Column Type Key'!$C$2:$C$392,"date")</f>
        <v>2</v>
      </c>
      <c r="D14" s="31">
        <f>COUNTIFS('Column Type Key'!$A$2:$A$392,"FRED-QD",'Column Type Key'!$C$2:$C$392,"date")</f>
        <v>1</v>
      </c>
      <c r="E14" s="31">
        <f>COUNTIFS('Column Type Key'!$A$2:$A$392,"FRED-MD",'Column Type Key'!$C$2:$C$392,"date")</f>
        <v>1</v>
      </c>
    </row>
    <row r="15">
      <c r="A15" s="39" t="s">
        <v>358</v>
      </c>
      <c r="B15" s="40">
        <f t="shared" ref="B15:E15" si="1">SUM(B8:B14)</f>
        <v>12</v>
      </c>
      <c r="C15" s="40">
        <f t="shared" si="1"/>
        <v>6</v>
      </c>
      <c r="D15" s="40">
        <f t="shared" si="1"/>
        <v>246</v>
      </c>
      <c r="E15" s="40">
        <f t="shared" si="1"/>
        <v>127</v>
      </c>
    </row>
    <row r="16">
      <c r="A16" s="28" t="s">
        <v>371</v>
      </c>
    </row>
    <row r="17">
      <c r="A17" s="4" t="s">
        <v>374</v>
      </c>
    </row>
    <row r="19">
      <c r="A19" s="41" t="s">
        <v>2</v>
      </c>
      <c r="B19" s="41" t="s">
        <v>11</v>
      </c>
      <c r="C19" s="41" t="s">
        <v>13</v>
      </c>
      <c r="D19" s="41" t="s">
        <v>15</v>
      </c>
    </row>
    <row r="20">
      <c r="A20" s="42" t="s">
        <v>14</v>
      </c>
      <c r="B20" s="43" t="s">
        <v>54</v>
      </c>
      <c r="C20" s="44" t="s">
        <v>26</v>
      </c>
      <c r="D20" s="44" t="s">
        <v>26</v>
      </c>
    </row>
    <row r="21" ht="15.75" customHeight="1">
      <c r="A21" s="45" t="s">
        <v>22</v>
      </c>
      <c r="B21" s="44" t="s">
        <v>61</v>
      </c>
      <c r="C21" s="45" t="s">
        <v>37</v>
      </c>
      <c r="D21" s="45" t="s">
        <v>390</v>
      </c>
    </row>
    <row r="22" ht="15.75" customHeight="1">
      <c r="A22" s="46" t="s">
        <v>24</v>
      </c>
      <c r="B22" s="43" t="s">
        <v>64</v>
      </c>
      <c r="C22" s="45" t="s">
        <v>51</v>
      </c>
      <c r="D22" s="45" t="s">
        <v>395</v>
      </c>
    </row>
    <row r="23" ht="15.75" customHeight="1">
      <c r="A23" s="42" t="s">
        <v>30</v>
      </c>
      <c r="B23" s="43" t="s">
        <v>68</v>
      </c>
      <c r="C23" s="45" t="s">
        <v>55</v>
      </c>
      <c r="D23" s="45" t="s">
        <v>399</v>
      </c>
    </row>
    <row r="24" ht="15.75" customHeight="1">
      <c r="A24" s="46" t="s">
        <v>31</v>
      </c>
      <c r="B24" s="44" t="s">
        <v>69</v>
      </c>
      <c r="C24" s="45" t="s">
        <v>59</v>
      </c>
      <c r="D24" s="45" t="s">
        <v>274</v>
      </c>
    </row>
    <row r="25" ht="15.75" customHeight="1">
      <c r="A25" s="47" t="s">
        <v>33</v>
      </c>
      <c r="B25" s="46" t="s">
        <v>70</v>
      </c>
      <c r="C25" s="45" t="s">
        <v>63</v>
      </c>
      <c r="D25" s="45" t="s">
        <v>409</v>
      </c>
    </row>
    <row r="26" ht="15.75" customHeight="1">
      <c r="A26" s="45" t="s">
        <v>36</v>
      </c>
      <c r="B26" s="48"/>
      <c r="C26" s="45" t="s">
        <v>71</v>
      </c>
      <c r="D26" s="45" t="s">
        <v>121</v>
      </c>
    </row>
    <row r="27" ht="15.75" customHeight="1">
      <c r="A27" s="45" t="s">
        <v>40</v>
      </c>
      <c r="B27" s="48"/>
      <c r="C27" s="45" t="s">
        <v>76</v>
      </c>
      <c r="D27" s="45" t="s">
        <v>417</v>
      </c>
    </row>
    <row r="28" ht="15.75" customHeight="1">
      <c r="A28" s="49" t="s">
        <v>42</v>
      </c>
      <c r="B28" s="48"/>
      <c r="C28" s="45" t="s">
        <v>79</v>
      </c>
      <c r="D28" s="45" t="s">
        <v>123</v>
      </c>
    </row>
    <row r="29" ht="15.75" customHeight="1">
      <c r="A29" s="45" t="s">
        <v>47</v>
      </c>
      <c r="B29" s="48"/>
      <c r="C29" s="45" t="s">
        <v>82</v>
      </c>
      <c r="D29" s="45" t="s">
        <v>125</v>
      </c>
    </row>
    <row r="30" ht="15.75" customHeight="1">
      <c r="A30" s="50" t="s">
        <v>49</v>
      </c>
      <c r="B30" s="48"/>
      <c r="C30" s="45" t="s">
        <v>85</v>
      </c>
      <c r="D30" s="45" t="s">
        <v>138</v>
      </c>
    </row>
    <row r="31" ht="15.75" customHeight="1">
      <c r="A31" s="42" t="s">
        <v>50</v>
      </c>
      <c r="B31" s="48"/>
      <c r="C31" s="45" t="s">
        <v>90</v>
      </c>
      <c r="D31" s="45" t="s">
        <v>142</v>
      </c>
    </row>
    <row r="32" ht="15.75" customHeight="1">
      <c r="A32" s="48"/>
      <c r="B32" s="48"/>
      <c r="C32" s="45" t="s">
        <v>93</v>
      </c>
      <c r="D32" s="45" t="s">
        <v>145</v>
      </c>
    </row>
    <row r="33" ht="15.75" customHeight="1">
      <c r="A33" s="48"/>
      <c r="B33" s="48"/>
      <c r="C33" s="45" t="s">
        <v>96</v>
      </c>
      <c r="D33" s="45" t="s">
        <v>129</v>
      </c>
    </row>
    <row r="34" ht="15.75" customHeight="1">
      <c r="A34" s="48"/>
      <c r="B34" s="48"/>
      <c r="C34" s="45" t="s">
        <v>99</v>
      </c>
      <c r="D34" s="45" t="s">
        <v>131</v>
      </c>
    </row>
    <row r="35" ht="15.75" customHeight="1">
      <c r="A35" s="48"/>
      <c r="B35" s="48"/>
      <c r="C35" s="45" t="s">
        <v>102</v>
      </c>
      <c r="D35" s="45" t="s">
        <v>134</v>
      </c>
    </row>
    <row r="36" ht="15.75" customHeight="1">
      <c r="A36" s="48"/>
      <c r="B36" s="48"/>
      <c r="C36" s="45" t="s">
        <v>105</v>
      </c>
      <c r="D36" s="45" t="s">
        <v>183</v>
      </c>
    </row>
    <row r="37" ht="15.75" customHeight="1">
      <c r="A37" s="48"/>
      <c r="B37" s="48"/>
      <c r="C37" s="45" t="s">
        <v>108</v>
      </c>
      <c r="D37" s="45" t="s">
        <v>190</v>
      </c>
    </row>
    <row r="38" ht="15.75" customHeight="1">
      <c r="A38" s="48"/>
      <c r="B38" s="48"/>
      <c r="C38" s="45" t="s">
        <v>111</v>
      </c>
      <c r="D38" s="45" t="s">
        <v>195</v>
      </c>
    </row>
    <row r="39" ht="15.75" customHeight="1">
      <c r="A39" s="48"/>
      <c r="B39" s="48"/>
      <c r="C39" s="45" t="s">
        <v>114</v>
      </c>
      <c r="D39" s="45" t="s">
        <v>152</v>
      </c>
    </row>
    <row r="40" ht="15.75" customHeight="1">
      <c r="A40" s="48"/>
      <c r="B40" s="48"/>
      <c r="C40" s="45" t="s">
        <v>117</v>
      </c>
      <c r="D40" s="45" t="s">
        <v>442</v>
      </c>
    </row>
    <row r="41" ht="15.75" customHeight="1">
      <c r="A41" s="48"/>
      <c r="B41" s="48"/>
      <c r="C41" s="45" t="s">
        <v>120</v>
      </c>
      <c r="D41" s="45" t="s">
        <v>444</v>
      </c>
    </row>
    <row r="42" ht="15.75" customHeight="1">
      <c r="A42" s="48"/>
      <c r="B42" s="48"/>
      <c r="C42" s="45" t="s">
        <v>121</v>
      </c>
      <c r="D42" s="45" t="s">
        <v>447</v>
      </c>
    </row>
    <row r="43" ht="15.75" customHeight="1">
      <c r="A43" s="48"/>
      <c r="B43" s="48"/>
      <c r="C43" s="45" t="s">
        <v>123</v>
      </c>
      <c r="D43" s="45" t="s">
        <v>203</v>
      </c>
    </row>
    <row r="44" ht="15.75" customHeight="1">
      <c r="A44" s="48"/>
      <c r="B44" s="48"/>
      <c r="C44" s="45" t="s">
        <v>125</v>
      </c>
      <c r="D44" s="45" t="s">
        <v>207</v>
      </c>
    </row>
    <row r="45" ht="15.75" customHeight="1">
      <c r="A45" s="48"/>
      <c r="B45" s="48"/>
      <c r="C45" s="45" t="s">
        <v>129</v>
      </c>
      <c r="D45" s="45" t="s">
        <v>385</v>
      </c>
    </row>
    <row r="46" ht="15.75" customHeight="1">
      <c r="A46" s="48"/>
      <c r="B46" s="48"/>
      <c r="C46" s="45" t="s">
        <v>131</v>
      </c>
      <c r="D46" s="45" t="s">
        <v>221</v>
      </c>
    </row>
    <row r="47" ht="15.75" customHeight="1">
      <c r="A47" s="48"/>
      <c r="B47" s="48"/>
      <c r="C47" s="45" t="s">
        <v>134</v>
      </c>
      <c r="D47" s="45" t="s">
        <v>224</v>
      </c>
    </row>
    <row r="48" ht="15.75" customHeight="1">
      <c r="A48" s="48"/>
      <c r="B48" s="48"/>
      <c r="C48" s="45" t="s">
        <v>138</v>
      </c>
      <c r="D48" s="45" t="s">
        <v>457</v>
      </c>
    </row>
    <row r="49" ht="15.75" customHeight="1">
      <c r="A49" s="48"/>
      <c r="B49" s="48"/>
      <c r="C49" s="45" t="s">
        <v>140</v>
      </c>
      <c r="D49" s="45" t="s">
        <v>225</v>
      </c>
    </row>
    <row r="50" ht="15.75" customHeight="1">
      <c r="A50" s="48"/>
      <c r="B50" s="48"/>
      <c r="C50" s="45" t="s">
        <v>142</v>
      </c>
      <c r="D50" s="45" t="s">
        <v>228</v>
      </c>
    </row>
    <row r="51" ht="15.75" customHeight="1">
      <c r="A51" s="48"/>
      <c r="B51" s="48"/>
      <c r="C51" s="45" t="s">
        <v>145</v>
      </c>
      <c r="D51" s="45" t="s">
        <v>403</v>
      </c>
    </row>
    <row r="52" ht="15.75" customHeight="1">
      <c r="A52" s="48"/>
      <c r="B52" s="48"/>
      <c r="C52" s="45" t="s">
        <v>148</v>
      </c>
      <c r="D52" s="45" t="s">
        <v>155</v>
      </c>
    </row>
    <row r="53" ht="15.75" customHeight="1">
      <c r="A53" s="48"/>
      <c r="B53" s="48"/>
      <c r="C53" s="45" t="s">
        <v>149</v>
      </c>
      <c r="D53" s="45" t="s">
        <v>163</v>
      </c>
    </row>
    <row r="54" ht="15.75" customHeight="1">
      <c r="A54" s="48"/>
      <c r="B54" s="48"/>
      <c r="C54" s="45" t="s">
        <v>152</v>
      </c>
      <c r="D54" s="45" t="s">
        <v>466</v>
      </c>
    </row>
    <row r="55" ht="15.75" customHeight="1">
      <c r="A55" s="48"/>
      <c r="B55" s="48"/>
      <c r="C55" s="45" t="s">
        <v>155</v>
      </c>
      <c r="D55" s="45" t="s">
        <v>170</v>
      </c>
    </row>
    <row r="56" ht="15.75" customHeight="1">
      <c r="A56" s="48"/>
      <c r="B56" s="48"/>
      <c r="C56" s="45" t="s">
        <v>157</v>
      </c>
      <c r="D56" s="45" t="s">
        <v>159</v>
      </c>
    </row>
    <row r="57" ht="15.75" customHeight="1">
      <c r="A57" s="48"/>
      <c r="B57" s="48"/>
      <c r="C57" s="45" t="s">
        <v>159</v>
      </c>
      <c r="D57" s="45" t="s">
        <v>165</v>
      </c>
    </row>
    <row r="58" ht="15.75" customHeight="1">
      <c r="A58" s="48"/>
      <c r="B58" s="48"/>
      <c r="C58" s="45" t="s">
        <v>161</v>
      </c>
      <c r="D58" s="45" t="s">
        <v>167</v>
      </c>
    </row>
    <row r="59" ht="15.75" customHeight="1">
      <c r="A59" s="48"/>
      <c r="B59" s="48"/>
      <c r="C59" s="45" t="s">
        <v>163</v>
      </c>
      <c r="D59" s="45" t="s">
        <v>161</v>
      </c>
    </row>
    <row r="60" ht="15.75" customHeight="1">
      <c r="A60" s="48"/>
      <c r="B60" s="48"/>
      <c r="C60" s="45" t="s">
        <v>165</v>
      </c>
      <c r="D60" s="45" t="s">
        <v>187</v>
      </c>
    </row>
    <row r="61" ht="15.75" customHeight="1">
      <c r="A61" s="48"/>
      <c r="B61" s="48"/>
      <c r="C61" s="45" t="s">
        <v>167</v>
      </c>
      <c r="D61" s="45" t="s">
        <v>191</v>
      </c>
    </row>
    <row r="62" ht="15.75" customHeight="1">
      <c r="A62" s="48"/>
      <c r="B62" s="48"/>
      <c r="C62" s="45" t="s">
        <v>170</v>
      </c>
      <c r="D62" s="45" t="s">
        <v>189</v>
      </c>
    </row>
    <row r="63" ht="15.75" customHeight="1">
      <c r="A63" s="48"/>
      <c r="B63" s="48"/>
      <c r="C63" s="45" t="s">
        <v>172</v>
      </c>
      <c r="D63" s="45" t="s">
        <v>174</v>
      </c>
    </row>
    <row r="64" ht="15.75" customHeight="1">
      <c r="A64" s="48"/>
      <c r="B64" s="48"/>
      <c r="C64" s="45" t="s">
        <v>174</v>
      </c>
      <c r="D64" s="45" t="s">
        <v>188</v>
      </c>
    </row>
    <row r="65" ht="15.75" customHeight="1">
      <c r="A65" s="48"/>
      <c r="B65" s="48"/>
      <c r="C65" s="45" t="s">
        <v>176</v>
      </c>
      <c r="D65" s="45" t="s">
        <v>391</v>
      </c>
    </row>
    <row r="66" ht="15.75" customHeight="1">
      <c r="A66" s="48"/>
      <c r="B66" s="48"/>
      <c r="C66" s="45" t="s">
        <v>178</v>
      </c>
      <c r="D66" s="45" t="s">
        <v>253</v>
      </c>
    </row>
    <row r="67" ht="15.75" customHeight="1">
      <c r="A67" s="48"/>
      <c r="B67" s="48"/>
      <c r="C67" s="45" t="s">
        <v>180</v>
      </c>
      <c r="D67" s="45" t="s">
        <v>249</v>
      </c>
    </row>
    <row r="68" ht="15.75" customHeight="1">
      <c r="A68" s="48"/>
      <c r="B68" s="48"/>
      <c r="C68" s="45" t="s">
        <v>182</v>
      </c>
      <c r="D68" s="45" t="s">
        <v>258</v>
      </c>
    </row>
    <row r="69" ht="15.75" customHeight="1">
      <c r="A69" s="48"/>
      <c r="B69" s="48"/>
      <c r="C69" s="45" t="s">
        <v>186</v>
      </c>
      <c r="D69" s="45" t="s">
        <v>268</v>
      </c>
    </row>
    <row r="70" ht="15.75" customHeight="1">
      <c r="A70" s="48"/>
      <c r="B70" s="48"/>
      <c r="C70" s="45" t="s">
        <v>187</v>
      </c>
      <c r="D70" s="45" t="s">
        <v>266</v>
      </c>
    </row>
    <row r="71" ht="15.75" customHeight="1">
      <c r="A71" s="48"/>
      <c r="B71" s="48"/>
      <c r="C71" s="45" t="s">
        <v>188</v>
      </c>
      <c r="D71" s="45" t="s">
        <v>270</v>
      </c>
    </row>
    <row r="72" ht="15.75" customHeight="1">
      <c r="A72" s="48"/>
      <c r="B72" s="48"/>
      <c r="C72" s="45" t="s">
        <v>189</v>
      </c>
      <c r="D72" s="45" t="s">
        <v>272</v>
      </c>
    </row>
    <row r="73" ht="15.75" customHeight="1">
      <c r="A73" s="48"/>
      <c r="B73" s="48"/>
      <c r="C73" s="45" t="s">
        <v>191</v>
      </c>
      <c r="D73" s="45" t="s">
        <v>263</v>
      </c>
    </row>
    <row r="74" ht="15.75" customHeight="1">
      <c r="A74" s="48"/>
      <c r="B74" s="48"/>
      <c r="C74" s="45" t="s">
        <v>194</v>
      </c>
      <c r="D74" s="45" t="s">
        <v>463</v>
      </c>
    </row>
    <row r="75" ht="15.75" customHeight="1">
      <c r="A75" s="48"/>
      <c r="B75" s="48"/>
      <c r="C75" s="45" t="s">
        <v>197</v>
      </c>
      <c r="D75" s="45" t="s">
        <v>469</v>
      </c>
    </row>
    <row r="76" ht="15.75" customHeight="1">
      <c r="A76" s="48"/>
      <c r="B76" s="48"/>
      <c r="C76" s="45" t="s">
        <v>199</v>
      </c>
      <c r="D76" s="45" t="s">
        <v>474</v>
      </c>
    </row>
    <row r="77" ht="15.75" customHeight="1">
      <c r="A77" s="48"/>
      <c r="B77" s="48"/>
      <c r="C77" s="45" t="s">
        <v>203</v>
      </c>
      <c r="D77" s="45" t="s">
        <v>478</v>
      </c>
    </row>
    <row r="78" ht="15.75" customHeight="1">
      <c r="A78" s="48"/>
      <c r="B78" s="48"/>
      <c r="C78" s="45" t="s">
        <v>204</v>
      </c>
      <c r="D78" s="45" t="s">
        <v>504</v>
      </c>
    </row>
    <row r="79" ht="15.75" customHeight="1">
      <c r="A79" s="48"/>
      <c r="B79" s="48"/>
      <c r="C79" s="45" t="s">
        <v>207</v>
      </c>
      <c r="D79" s="45" t="s">
        <v>278</v>
      </c>
    </row>
    <row r="80" ht="15.75" customHeight="1">
      <c r="A80" s="48"/>
      <c r="B80" s="48"/>
      <c r="C80" s="45" t="s">
        <v>210</v>
      </c>
      <c r="D80" s="45" t="s">
        <v>283</v>
      </c>
    </row>
    <row r="81" ht="15.75" customHeight="1">
      <c r="A81" s="48"/>
      <c r="B81" s="48"/>
      <c r="C81" s="45" t="s">
        <v>212</v>
      </c>
      <c r="D81" s="45" t="s">
        <v>282</v>
      </c>
    </row>
    <row r="82" ht="15.75" customHeight="1">
      <c r="A82" s="48"/>
      <c r="B82" s="48"/>
      <c r="C82" s="45" t="s">
        <v>214</v>
      </c>
      <c r="D82" s="45" t="s">
        <v>507</v>
      </c>
    </row>
    <row r="83" ht="15.75" customHeight="1">
      <c r="A83" s="48"/>
      <c r="B83" s="48"/>
      <c r="C83" s="45" t="s">
        <v>217</v>
      </c>
      <c r="D83" s="45" t="s">
        <v>511</v>
      </c>
    </row>
    <row r="84" ht="15.75" customHeight="1">
      <c r="A84" s="48"/>
      <c r="B84" s="48"/>
      <c r="C84" s="45" t="s">
        <v>218</v>
      </c>
      <c r="D84" s="45" t="s">
        <v>513</v>
      </c>
    </row>
    <row r="85" ht="15.75" customHeight="1">
      <c r="A85" s="48"/>
      <c r="B85" s="48"/>
      <c r="C85" s="45" t="s">
        <v>221</v>
      </c>
      <c r="D85" s="45" t="s">
        <v>515</v>
      </c>
    </row>
    <row r="86" ht="15.75" customHeight="1">
      <c r="A86" s="48"/>
      <c r="B86" s="48"/>
      <c r="C86" s="45" t="s">
        <v>224</v>
      </c>
      <c r="D86" s="45" t="s">
        <v>433</v>
      </c>
    </row>
    <row r="87" ht="15.75" customHeight="1">
      <c r="A87" s="48"/>
      <c r="B87" s="48"/>
      <c r="C87" s="45" t="s">
        <v>225</v>
      </c>
      <c r="D87" s="45" t="s">
        <v>518</v>
      </c>
    </row>
    <row r="88" ht="15.75" customHeight="1">
      <c r="A88" s="48"/>
      <c r="B88" s="48"/>
      <c r="C88" s="45" t="s">
        <v>228</v>
      </c>
      <c r="D88" s="45" t="s">
        <v>509</v>
      </c>
    </row>
    <row r="89" ht="15.75" customHeight="1">
      <c r="A89" s="48"/>
      <c r="B89" s="48"/>
      <c r="C89" s="45" t="s">
        <v>229</v>
      </c>
      <c r="D89" s="45" t="s">
        <v>514</v>
      </c>
    </row>
    <row r="90" ht="15.75" customHeight="1">
      <c r="A90" s="48"/>
      <c r="B90" s="48"/>
      <c r="C90" s="45" t="s">
        <v>232</v>
      </c>
      <c r="D90" s="45" t="s">
        <v>524</v>
      </c>
    </row>
    <row r="91" ht="15.75" customHeight="1">
      <c r="A91" s="48"/>
      <c r="B91" s="48"/>
      <c r="C91" s="45" t="s">
        <v>234</v>
      </c>
      <c r="D91" s="45" t="s">
        <v>526</v>
      </c>
    </row>
    <row r="92" ht="15.75" customHeight="1">
      <c r="A92" s="48"/>
      <c r="B92" s="48"/>
      <c r="C92" s="45" t="s">
        <v>236</v>
      </c>
      <c r="D92" s="51" t="s">
        <v>532</v>
      </c>
    </row>
    <row r="93" ht="15.75" customHeight="1">
      <c r="A93" s="48"/>
      <c r="B93" s="48"/>
      <c r="C93" s="45" t="s">
        <v>239</v>
      </c>
      <c r="D93" s="51" t="s">
        <v>536</v>
      </c>
    </row>
    <row r="94" ht="15.75" customHeight="1">
      <c r="A94" s="48"/>
      <c r="B94" s="48"/>
      <c r="C94" s="45" t="s">
        <v>242</v>
      </c>
      <c r="D94" s="45" t="s">
        <v>540</v>
      </c>
    </row>
    <row r="95" ht="15.75" customHeight="1">
      <c r="A95" s="48"/>
      <c r="B95" s="48"/>
      <c r="C95" s="45" t="s">
        <v>244</v>
      </c>
      <c r="D95" s="45" t="s">
        <v>542</v>
      </c>
    </row>
    <row r="96" ht="15.75" customHeight="1">
      <c r="A96" s="48"/>
      <c r="B96" s="48"/>
      <c r="C96" s="45" t="s">
        <v>246</v>
      </c>
      <c r="D96" s="45" t="s">
        <v>544</v>
      </c>
    </row>
    <row r="97" ht="15.75" customHeight="1">
      <c r="A97" s="48"/>
      <c r="B97" s="48"/>
      <c r="C97" s="45" t="s">
        <v>249</v>
      </c>
      <c r="D97" s="45" t="s">
        <v>393</v>
      </c>
    </row>
    <row r="98" ht="15.75" customHeight="1">
      <c r="A98" s="48"/>
      <c r="B98" s="48"/>
      <c r="C98" s="45" t="s">
        <v>251</v>
      </c>
      <c r="D98" s="45" t="s">
        <v>548</v>
      </c>
    </row>
    <row r="99" ht="15.75" customHeight="1">
      <c r="A99" s="48"/>
      <c r="B99" s="48"/>
      <c r="C99" s="45" t="s">
        <v>253</v>
      </c>
      <c r="D99" s="45" t="s">
        <v>396</v>
      </c>
    </row>
    <row r="100" ht="15.75" customHeight="1">
      <c r="A100" s="48"/>
      <c r="B100" s="48"/>
      <c r="C100" s="45" t="s">
        <v>256</v>
      </c>
      <c r="D100" s="45" t="s">
        <v>400</v>
      </c>
    </row>
    <row r="101" ht="15.75" customHeight="1">
      <c r="A101" s="48"/>
      <c r="B101" s="48"/>
      <c r="C101" s="45" t="s">
        <v>258</v>
      </c>
      <c r="D101" s="45" t="s">
        <v>402</v>
      </c>
    </row>
    <row r="102" ht="15.75" customHeight="1">
      <c r="A102" s="48"/>
      <c r="B102" s="48"/>
      <c r="C102" s="45" t="s">
        <v>260</v>
      </c>
      <c r="D102" s="45" t="s">
        <v>516</v>
      </c>
    </row>
    <row r="103" ht="15.75" customHeight="1">
      <c r="A103" s="48"/>
      <c r="B103" s="48"/>
      <c r="C103" s="45" t="s">
        <v>263</v>
      </c>
      <c r="D103" s="45" t="s">
        <v>405</v>
      </c>
    </row>
    <row r="104" ht="15.75" customHeight="1">
      <c r="A104" s="48"/>
      <c r="B104" s="48"/>
      <c r="C104" s="45" t="s">
        <v>266</v>
      </c>
      <c r="D104" s="45" t="s">
        <v>410</v>
      </c>
    </row>
    <row r="105" ht="15.75" customHeight="1">
      <c r="A105" s="48"/>
      <c r="B105" s="48"/>
      <c r="C105" s="45" t="s">
        <v>268</v>
      </c>
      <c r="D105" s="45" t="s">
        <v>414</v>
      </c>
    </row>
    <row r="106" ht="15.75" customHeight="1">
      <c r="A106" s="48"/>
      <c r="B106" s="48"/>
      <c r="C106" s="45" t="s">
        <v>270</v>
      </c>
      <c r="D106" s="45" t="s">
        <v>562</v>
      </c>
    </row>
    <row r="107" ht="15.75" customHeight="1">
      <c r="A107" s="48"/>
      <c r="B107" s="48"/>
      <c r="C107" s="45" t="s">
        <v>272</v>
      </c>
      <c r="D107" s="45" t="s">
        <v>520</v>
      </c>
    </row>
    <row r="108" ht="15.75" customHeight="1">
      <c r="A108" s="48"/>
      <c r="B108" s="48"/>
      <c r="C108" s="45" t="s">
        <v>274</v>
      </c>
      <c r="D108" s="45" t="s">
        <v>564</v>
      </c>
    </row>
    <row r="109" ht="15.75" customHeight="1">
      <c r="A109" s="48"/>
      <c r="B109" s="48"/>
      <c r="C109" s="45" t="s">
        <v>275</v>
      </c>
      <c r="D109" s="45" t="s">
        <v>566</v>
      </c>
    </row>
    <row r="110" ht="15.75" customHeight="1">
      <c r="A110" s="48"/>
      <c r="B110" s="48"/>
      <c r="C110" s="45" t="s">
        <v>278</v>
      </c>
      <c r="D110" s="45" t="s">
        <v>521</v>
      </c>
    </row>
    <row r="111" ht="15.75" customHeight="1">
      <c r="A111" s="48"/>
      <c r="B111" s="48"/>
      <c r="C111" s="45" t="s">
        <v>279</v>
      </c>
      <c r="D111" s="45" t="s">
        <v>569</v>
      </c>
    </row>
    <row r="112" ht="15.75" customHeight="1">
      <c r="A112" s="48"/>
      <c r="B112" s="48"/>
      <c r="C112" s="45" t="s">
        <v>282</v>
      </c>
      <c r="D112" s="45" t="s">
        <v>525</v>
      </c>
    </row>
    <row r="113" ht="15.75" customHeight="1">
      <c r="A113" s="48"/>
      <c r="B113" s="48"/>
      <c r="C113" s="45" t="s">
        <v>283</v>
      </c>
      <c r="D113" s="51" t="s">
        <v>572</v>
      </c>
    </row>
    <row r="114" ht="15.75" customHeight="1">
      <c r="A114" s="48"/>
      <c r="B114" s="48"/>
      <c r="C114" s="45" t="s">
        <v>286</v>
      </c>
      <c r="D114" s="45" t="s">
        <v>481</v>
      </c>
    </row>
    <row r="115" ht="15.75" customHeight="1">
      <c r="A115" s="48"/>
      <c r="B115" s="48"/>
      <c r="C115" s="45" t="s">
        <v>287</v>
      </c>
      <c r="D115" s="45" t="s">
        <v>486</v>
      </c>
    </row>
    <row r="116" ht="15.75" customHeight="1">
      <c r="A116" s="48"/>
      <c r="B116" s="48"/>
      <c r="C116" s="45" t="s">
        <v>290</v>
      </c>
      <c r="D116" s="45" t="s">
        <v>487</v>
      </c>
    </row>
    <row r="117" ht="15.75" customHeight="1">
      <c r="A117" s="48"/>
      <c r="B117" s="48"/>
      <c r="C117" s="45" t="s">
        <v>292</v>
      </c>
      <c r="D117" s="45" t="s">
        <v>490</v>
      </c>
    </row>
    <row r="118" ht="15.75" customHeight="1">
      <c r="A118" s="48"/>
      <c r="B118" s="48"/>
      <c r="C118" s="45" t="s">
        <v>293</v>
      </c>
      <c r="D118" s="45" t="s">
        <v>491</v>
      </c>
    </row>
    <row r="119" ht="15.75" customHeight="1">
      <c r="A119" s="48"/>
      <c r="B119" s="48"/>
      <c r="C119" s="45" t="s">
        <v>297</v>
      </c>
      <c r="D119" s="45" t="s">
        <v>345</v>
      </c>
    </row>
    <row r="120" ht="15.75" customHeight="1">
      <c r="A120" s="48"/>
      <c r="B120" s="48"/>
      <c r="C120" s="45" t="s">
        <v>298</v>
      </c>
      <c r="D120" s="45" t="s">
        <v>349</v>
      </c>
    </row>
    <row r="121" ht="15.75" customHeight="1">
      <c r="A121" s="48"/>
      <c r="B121" s="48"/>
      <c r="C121" s="45" t="s">
        <v>302</v>
      </c>
      <c r="D121" s="45" t="s">
        <v>354</v>
      </c>
    </row>
    <row r="122" ht="15.75" customHeight="1">
      <c r="A122" s="48"/>
      <c r="B122" s="48"/>
      <c r="C122" s="45" t="s">
        <v>303</v>
      </c>
      <c r="D122" s="45" t="s">
        <v>527</v>
      </c>
    </row>
    <row r="123" ht="15.75" customHeight="1">
      <c r="A123" s="48"/>
      <c r="B123" s="48"/>
      <c r="C123" s="45" t="s">
        <v>305</v>
      </c>
      <c r="D123" s="45" t="s">
        <v>360</v>
      </c>
    </row>
    <row r="124" ht="15.75" customHeight="1">
      <c r="A124" s="48"/>
      <c r="B124" s="48"/>
      <c r="C124" s="45" t="s">
        <v>307</v>
      </c>
      <c r="D124" s="45" t="s">
        <v>529</v>
      </c>
    </row>
    <row r="125" ht="15.75" customHeight="1">
      <c r="A125" s="48"/>
      <c r="B125" s="48"/>
      <c r="C125" s="45" t="s">
        <v>308</v>
      </c>
      <c r="D125" s="45" t="s">
        <v>341</v>
      </c>
    </row>
    <row r="126" ht="15.75" customHeight="1">
      <c r="A126" s="48"/>
      <c r="B126" s="48"/>
      <c r="C126" s="45" t="s">
        <v>311</v>
      </c>
      <c r="D126" s="45" t="s">
        <v>534</v>
      </c>
    </row>
    <row r="127" ht="15.75" customHeight="1">
      <c r="A127" s="48"/>
      <c r="B127" s="48"/>
      <c r="C127" s="45" t="s">
        <v>312</v>
      </c>
      <c r="D127" s="45" t="s">
        <v>535</v>
      </c>
    </row>
    <row r="128" ht="15.75" customHeight="1">
      <c r="A128" s="48"/>
      <c r="B128" s="48"/>
      <c r="C128" s="45" t="s">
        <v>315</v>
      </c>
      <c r="D128" s="45" t="s">
        <v>539</v>
      </c>
    </row>
    <row r="129" ht="15.75" customHeight="1">
      <c r="A129" s="48"/>
      <c r="B129" s="48"/>
      <c r="C129" s="45" t="s">
        <v>320</v>
      </c>
      <c r="D129" s="45" t="s">
        <v>541</v>
      </c>
    </row>
    <row r="130" ht="15.75" customHeight="1">
      <c r="A130" s="48"/>
      <c r="B130" s="48"/>
      <c r="C130" s="45" t="s">
        <v>321</v>
      </c>
      <c r="D130" s="45" t="s">
        <v>545</v>
      </c>
    </row>
    <row r="131" ht="15.75" customHeight="1">
      <c r="A131" s="48"/>
      <c r="B131" s="48"/>
      <c r="C131" s="45" t="s">
        <v>324</v>
      </c>
      <c r="D131" s="45" t="s">
        <v>547</v>
      </c>
    </row>
    <row r="132" ht="15.75" customHeight="1">
      <c r="A132" s="48"/>
      <c r="B132" s="48"/>
      <c r="C132" s="45" t="s">
        <v>325</v>
      </c>
      <c r="D132" s="45" t="s">
        <v>549</v>
      </c>
    </row>
    <row r="133" ht="15.75" customHeight="1">
      <c r="A133" s="48"/>
      <c r="B133" s="48"/>
      <c r="C133" s="45" t="s">
        <v>328</v>
      </c>
      <c r="D133" s="45" t="s">
        <v>552</v>
      </c>
    </row>
    <row r="134" ht="15.75" customHeight="1">
      <c r="A134" s="48"/>
      <c r="B134" s="48"/>
      <c r="C134" s="45" t="s">
        <v>329</v>
      </c>
      <c r="D134" s="45" t="s">
        <v>553</v>
      </c>
    </row>
    <row r="135" ht="15.75" customHeight="1">
      <c r="A135" s="48"/>
      <c r="B135" s="48"/>
      <c r="C135" s="45" t="s">
        <v>331</v>
      </c>
      <c r="D135" s="45" t="s">
        <v>638</v>
      </c>
    </row>
    <row r="136" ht="15.75" customHeight="1">
      <c r="A136" s="48"/>
      <c r="B136" s="48"/>
      <c r="C136" s="45" t="s">
        <v>333</v>
      </c>
      <c r="D136" s="45" t="s">
        <v>639</v>
      </c>
    </row>
    <row r="137" ht="15.75" customHeight="1">
      <c r="A137" s="48"/>
      <c r="B137" s="48"/>
      <c r="C137" s="45" t="s">
        <v>336</v>
      </c>
      <c r="D137" s="45" t="s">
        <v>643</v>
      </c>
    </row>
    <row r="138" ht="15.75" customHeight="1">
      <c r="A138" s="48"/>
      <c r="B138" s="48"/>
      <c r="C138" s="45" t="s">
        <v>337</v>
      </c>
      <c r="D138" s="45" t="s">
        <v>644</v>
      </c>
    </row>
    <row r="139" ht="15.75" customHeight="1">
      <c r="A139" s="48"/>
      <c r="B139" s="48"/>
      <c r="C139" s="45" t="s">
        <v>340</v>
      </c>
      <c r="D139" s="45" t="s">
        <v>555</v>
      </c>
    </row>
    <row r="140" ht="15.75" customHeight="1">
      <c r="A140" s="48"/>
      <c r="B140" s="48"/>
      <c r="C140" s="45" t="s">
        <v>341</v>
      </c>
      <c r="D140" s="45" t="s">
        <v>647</v>
      </c>
    </row>
    <row r="141" ht="15.75" customHeight="1">
      <c r="A141" s="48"/>
      <c r="B141" s="48"/>
      <c r="C141" s="45" t="s">
        <v>344</v>
      </c>
      <c r="D141" s="45" t="s">
        <v>650</v>
      </c>
    </row>
    <row r="142" ht="15.75" customHeight="1">
      <c r="A142" s="48"/>
      <c r="B142" s="48"/>
      <c r="C142" s="45" t="s">
        <v>345</v>
      </c>
      <c r="D142" s="45" t="s">
        <v>492</v>
      </c>
    </row>
    <row r="143" ht="15.75" customHeight="1">
      <c r="A143" s="48"/>
      <c r="B143" s="48"/>
      <c r="C143" s="45" t="s">
        <v>346</v>
      </c>
      <c r="D143" s="45" t="s">
        <v>557</v>
      </c>
    </row>
    <row r="144" ht="15.75" customHeight="1">
      <c r="A144" s="48"/>
      <c r="B144" s="48"/>
      <c r="C144" s="45" t="s">
        <v>349</v>
      </c>
      <c r="D144" s="51" t="s">
        <v>558</v>
      </c>
    </row>
    <row r="145" ht="15.75" customHeight="1">
      <c r="A145" s="48"/>
      <c r="B145" s="48"/>
      <c r="C145" s="45" t="s">
        <v>350</v>
      </c>
      <c r="D145" s="45" t="s">
        <v>561</v>
      </c>
    </row>
    <row r="146" ht="15.75" customHeight="1">
      <c r="A146" s="48"/>
      <c r="B146" s="48"/>
      <c r="C146" s="45" t="s">
        <v>352</v>
      </c>
      <c r="D146" s="45" t="s">
        <v>475</v>
      </c>
    </row>
    <row r="147" ht="15.75" customHeight="1">
      <c r="A147" s="48"/>
      <c r="B147" s="48"/>
      <c r="C147" s="45" t="s">
        <v>354</v>
      </c>
      <c r="D147" s="48"/>
    </row>
    <row r="148" ht="15.75" customHeight="1">
      <c r="A148" s="48"/>
      <c r="B148" s="48"/>
      <c r="C148" s="45" t="s">
        <v>356</v>
      </c>
      <c r="D148" s="48"/>
    </row>
    <row r="149" ht="15.75" customHeight="1">
      <c r="A149" s="48"/>
      <c r="B149" s="48"/>
      <c r="C149" s="45" t="s">
        <v>359</v>
      </c>
      <c r="D149" s="48"/>
    </row>
    <row r="150" ht="15.75" customHeight="1">
      <c r="A150" s="48"/>
      <c r="B150" s="48"/>
      <c r="C150" s="45" t="s">
        <v>360</v>
      </c>
      <c r="D150" s="48"/>
    </row>
    <row r="151" ht="15.75" customHeight="1">
      <c r="A151" s="48"/>
      <c r="B151" s="48"/>
      <c r="C151" s="45" t="s">
        <v>363</v>
      </c>
      <c r="D151" s="48"/>
    </row>
    <row r="152" ht="15.75" customHeight="1">
      <c r="A152" s="48"/>
      <c r="B152" s="48"/>
      <c r="C152" s="45" t="s">
        <v>364</v>
      </c>
      <c r="D152" s="48"/>
    </row>
    <row r="153" ht="15.75" customHeight="1">
      <c r="A153" s="48"/>
      <c r="B153" s="48"/>
      <c r="C153" s="45" t="s">
        <v>367</v>
      </c>
      <c r="D153" s="48"/>
    </row>
    <row r="154" ht="15.75" customHeight="1">
      <c r="A154" s="48"/>
      <c r="B154" s="48"/>
      <c r="C154" s="45" t="s">
        <v>369</v>
      </c>
      <c r="D154" s="48"/>
    </row>
    <row r="155" ht="15.75" customHeight="1">
      <c r="A155" s="48"/>
      <c r="B155" s="48"/>
      <c r="C155" s="45" t="s">
        <v>372</v>
      </c>
      <c r="D155" s="48"/>
    </row>
    <row r="156" ht="15.75" customHeight="1">
      <c r="A156" s="48"/>
      <c r="B156" s="48"/>
      <c r="C156" s="45" t="s">
        <v>375</v>
      </c>
      <c r="D156" s="48"/>
    </row>
    <row r="157" ht="15.75" customHeight="1">
      <c r="A157" s="48"/>
      <c r="B157" s="48"/>
      <c r="C157" s="45" t="s">
        <v>377</v>
      </c>
      <c r="D157" s="48"/>
    </row>
    <row r="158" ht="15.75" customHeight="1">
      <c r="A158" s="48"/>
      <c r="B158" s="48"/>
      <c r="C158" s="45" t="s">
        <v>379</v>
      </c>
      <c r="D158" s="48"/>
    </row>
    <row r="159" ht="15.75" customHeight="1">
      <c r="A159" s="48"/>
      <c r="B159" s="48"/>
      <c r="C159" s="45" t="s">
        <v>380</v>
      </c>
      <c r="D159" s="48"/>
    </row>
    <row r="160" ht="15.75" customHeight="1">
      <c r="A160" s="48"/>
      <c r="B160" s="48"/>
      <c r="C160" s="45" t="s">
        <v>383</v>
      </c>
      <c r="D160" s="48"/>
    </row>
    <row r="161" ht="15.75" customHeight="1">
      <c r="A161" s="48"/>
      <c r="B161" s="48"/>
      <c r="C161" s="45" t="s">
        <v>384</v>
      </c>
      <c r="D161" s="48"/>
    </row>
    <row r="162" ht="15.75" customHeight="1">
      <c r="A162" s="48"/>
      <c r="B162" s="48"/>
      <c r="C162" s="45" t="s">
        <v>388</v>
      </c>
      <c r="D162" s="48"/>
    </row>
    <row r="163" ht="15.75" customHeight="1">
      <c r="A163" s="48"/>
      <c r="B163" s="48"/>
      <c r="C163" s="45" t="s">
        <v>389</v>
      </c>
      <c r="D163" s="48"/>
    </row>
    <row r="164" ht="15.75" customHeight="1">
      <c r="A164" s="48"/>
      <c r="B164" s="48"/>
      <c r="C164" s="45" t="s">
        <v>393</v>
      </c>
      <c r="D164" s="48"/>
    </row>
    <row r="165" ht="15.75" customHeight="1">
      <c r="A165" s="48"/>
      <c r="B165" s="48"/>
      <c r="C165" s="45" t="s">
        <v>396</v>
      </c>
      <c r="D165" s="48"/>
    </row>
    <row r="166" ht="15.75" customHeight="1">
      <c r="A166" s="48"/>
      <c r="B166" s="48"/>
      <c r="C166" s="45" t="s">
        <v>400</v>
      </c>
      <c r="D166" s="48"/>
    </row>
    <row r="167" ht="15.75" customHeight="1">
      <c r="A167" s="48"/>
      <c r="B167" s="48"/>
      <c r="C167" s="45" t="s">
        <v>402</v>
      </c>
      <c r="D167" s="48"/>
    </row>
    <row r="168" ht="15.75" customHeight="1">
      <c r="A168" s="48"/>
      <c r="B168" s="48"/>
      <c r="C168" s="45" t="s">
        <v>405</v>
      </c>
      <c r="D168" s="48"/>
    </row>
    <row r="169" ht="15.75" customHeight="1">
      <c r="A169" s="48"/>
      <c r="B169" s="48"/>
      <c r="C169" s="45" t="s">
        <v>408</v>
      </c>
      <c r="D169" s="48"/>
    </row>
    <row r="170" ht="15.75" customHeight="1">
      <c r="A170" s="48"/>
      <c r="B170" s="48"/>
      <c r="C170" s="45" t="s">
        <v>410</v>
      </c>
      <c r="D170" s="48"/>
    </row>
    <row r="171" ht="15.75" customHeight="1">
      <c r="A171" s="48"/>
      <c r="B171" s="48"/>
      <c r="C171" s="45" t="s">
        <v>414</v>
      </c>
      <c r="D171" s="48"/>
    </row>
    <row r="172" ht="15.75" customHeight="1">
      <c r="A172" s="48"/>
      <c r="B172" s="48"/>
      <c r="C172" s="51" t="s">
        <v>416</v>
      </c>
      <c r="D172" s="48"/>
    </row>
    <row r="173" ht="15.75" customHeight="1">
      <c r="A173" s="48"/>
      <c r="B173" s="48"/>
      <c r="C173" s="45" t="s">
        <v>419</v>
      </c>
      <c r="D173" s="48"/>
    </row>
    <row r="174" ht="15.75" customHeight="1">
      <c r="A174" s="48"/>
      <c r="B174" s="48"/>
      <c r="C174" s="45" t="s">
        <v>421</v>
      </c>
      <c r="D174" s="48"/>
    </row>
    <row r="175" ht="15.75" customHeight="1">
      <c r="A175" s="48"/>
      <c r="B175" s="48"/>
      <c r="C175" s="45" t="s">
        <v>423</v>
      </c>
      <c r="D175" s="48"/>
    </row>
    <row r="176" ht="15.75" customHeight="1">
      <c r="A176" s="48"/>
      <c r="B176" s="48"/>
      <c r="C176" s="45" t="s">
        <v>425</v>
      </c>
      <c r="D176" s="48"/>
    </row>
    <row r="177" ht="15.75" customHeight="1">
      <c r="A177" s="48"/>
      <c r="B177" s="48"/>
      <c r="C177" s="45" t="s">
        <v>426</v>
      </c>
      <c r="D177" s="48"/>
    </row>
    <row r="178" ht="15.75" customHeight="1">
      <c r="A178" s="48"/>
      <c r="B178" s="48"/>
      <c r="C178" s="45" t="s">
        <v>429</v>
      </c>
      <c r="D178" s="48"/>
    </row>
    <row r="179" ht="15.75" customHeight="1">
      <c r="A179" s="48"/>
      <c r="B179" s="48"/>
      <c r="C179" s="45" t="s">
        <v>430</v>
      </c>
      <c r="D179" s="48"/>
    </row>
    <row r="180" ht="15.75" customHeight="1">
      <c r="A180" s="48"/>
      <c r="B180" s="48"/>
      <c r="C180" s="45" t="s">
        <v>433</v>
      </c>
      <c r="D180" s="48"/>
    </row>
    <row r="181" ht="15.75" customHeight="1">
      <c r="A181" s="48"/>
      <c r="B181" s="48"/>
      <c r="C181" s="45" t="s">
        <v>434</v>
      </c>
      <c r="D181" s="48"/>
    </row>
    <row r="182" ht="15.75" customHeight="1">
      <c r="A182" s="48"/>
      <c r="B182" s="48"/>
      <c r="C182" s="45" t="s">
        <v>437</v>
      </c>
      <c r="D182" s="48"/>
    </row>
    <row r="183" ht="15.75" customHeight="1">
      <c r="A183" s="48"/>
      <c r="B183" s="48"/>
      <c r="C183" s="51" t="s">
        <v>438</v>
      </c>
      <c r="D183" s="48"/>
    </row>
    <row r="184" ht="15.75" customHeight="1">
      <c r="A184" s="48"/>
      <c r="B184" s="48"/>
      <c r="C184" s="45" t="s">
        <v>440</v>
      </c>
      <c r="D184" s="48"/>
    </row>
    <row r="185" ht="15.75" customHeight="1">
      <c r="A185" s="48"/>
      <c r="B185" s="48"/>
      <c r="C185" s="45" t="s">
        <v>443</v>
      </c>
      <c r="D185" s="48"/>
    </row>
    <row r="186" ht="15.75" customHeight="1">
      <c r="A186" s="48"/>
      <c r="B186" s="48"/>
      <c r="C186" s="45" t="s">
        <v>448</v>
      </c>
      <c r="D186" s="48"/>
    </row>
    <row r="187" ht="15.75" customHeight="1">
      <c r="A187" s="48"/>
      <c r="B187" s="48"/>
      <c r="C187" s="51" t="s">
        <v>451</v>
      </c>
      <c r="D187" s="48"/>
    </row>
    <row r="188" ht="15.75" customHeight="1">
      <c r="A188" s="48"/>
      <c r="B188" s="48"/>
      <c r="C188" s="45" t="s">
        <v>454</v>
      </c>
      <c r="D188" s="48"/>
    </row>
    <row r="189" ht="15.75" customHeight="1">
      <c r="A189" s="48"/>
      <c r="B189" s="48"/>
      <c r="C189" s="45" t="s">
        <v>456</v>
      </c>
      <c r="D189" s="48"/>
    </row>
    <row r="190" ht="15.75" customHeight="1">
      <c r="A190" s="48"/>
      <c r="B190" s="48"/>
      <c r="C190" s="51" t="s">
        <v>459</v>
      </c>
      <c r="D190" s="48"/>
    </row>
    <row r="191" ht="15.75" customHeight="1">
      <c r="A191" s="48"/>
      <c r="B191" s="48"/>
      <c r="C191" s="45" t="s">
        <v>462</v>
      </c>
      <c r="D191" s="48"/>
    </row>
    <row r="192" ht="15.75" customHeight="1">
      <c r="A192" s="48"/>
      <c r="B192" s="48"/>
      <c r="C192" s="45" t="s">
        <v>465</v>
      </c>
      <c r="D192" s="48"/>
    </row>
    <row r="193" ht="15.75" customHeight="1">
      <c r="A193" s="48"/>
      <c r="B193" s="48"/>
      <c r="C193" s="45" t="s">
        <v>468</v>
      </c>
      <c r="D193" s="48"/>
    </row>
    <row r="194" ht="15.75" customHeight="1">
      <c r="A194" s="48"/>
      <c r="B194" s="48"/>
      <c r="C194" s="45" t="s">
        <v>471</v>
      </c>
      <c r="D194" s="48"/>
    </row>
    <row r="195" ht="15.75" customHeight="1">
      <c r="A195" s="48"/>
      <c r="B195" s="48"/>
      <c r="C195" s="45" t="s">
        <v>473</v>
      </c>
      <c r="D195" s="48"/>
    </row>
    <row r="196" ht="15.75" customHeight="1">
      <c r="A196" s="48"/>
      <c r="B196" s="48"/>
      <c r="C196" s="45" t="s">
        <v>475</v>
      </c>
      <c r="D196" s="48"/>
    </row>
    <row r="197" ht="15.75" customHeight="1">
      <c r="A197" s="48"/>
      <c r="B197" s="48"/>
      <c r="C197" s="45" t="s">
        <v>445</v>
      </c>
      <c r="D197" s="48"/>
    </row>
    <row r="198" ht="15.75" customHeight="1">
      <c r="A198" s="48"/>
      <c r="B198" s="48"/>
      <c r="C198" s="45" t="s">
        <v>452</v>
      </c>
      <c r="D198" s="48"/>
    </row>
    <row r="199" ht="15.75" customHeight="1">
      <c r="A199" s="48"/>
      <c r="B199" s="48"/>
      <c r="C199" s="45" t="s">
        <v>458</v>
      </c>
      <c r="D199" s="48"/>
    </row>
    <row r="200" ht="15.75" customHeight="1">
      <c r="A200" s="48"/>
      <c r="B200" s="48"/>
      <c r="C200" s="45" t="s">
        <v>481</v>
      </c>
      <c r="D200" s="48"/>
    </row>
    <row r="201" ht="15.75" customHeight="1">
      <c r="A201" s="48"/>
      <c r="B201" s="48"/>
      <c r="C201" s="45" t="s">
        <v>484</v>
      </c>
      <c r="D201" s="48"/>
    </row>
    <row r="202" ht="15.75" customHeight="1">
      <c r="A202" s="48"/>
      <c r="B202" s="48"/>
      <c r="C202" s="45" t="s">
        <v>486</v>
      </c>
      <c r="D202" s="48"/>
    </row>
    <row r="203" ht="15.75" customHeight="1">
      <c r="A203" s="48"/>
      <c r="B203" s="48"/>
      <c r="C203" s="45" t="s">
        <v>487</v>
      </c>
      <c r="D203" s="48"/>
    </row>
    <row r="204" ht="15.75" customHeight="1">
      <c r="A204" s="48"/>
      <c r="B204" s="48"/>
      <c r="C204" s="45" t="s">
        <v>490</v>
      </c>
      <c r="D204" s="48"/>
    </row>
    <row r="205" ht="15.75" customHeight="1">
      <c r="A205" s="48"/>
      <c r="B205" s="48"/>
      <c r="C205" s="45" t="s">
        <v>491</v>
      </c>
      <c r="D205" s="48"/>
    </row>
    <row r="206" ht="15.75" customHeight="1">
      <c r="A206" s="48"/>
      <c r="B206" s="48"/>
      <c r="C206" s="45" t="s">
        <v>492</v>
      </c>
      <c r="D206" s="48"/>
    </row>
    <row r="207" ht="15.75" customHeight="1">
      <c r="A207" s="48"/>
      <c r="B207" s="48"/>
      <c r="C207" s="45" t="s">
        <v>496</v>
      </c>
      <c r="D207" s="48"/>
    </row>
    <row r="208" ht="15.75" customHeight="1">
      <c r="A208" s="48"/>
      <c r="B208" s="48"/>
      <c r="C208" s="45" t="s">
        <v>126</v>
      </c>
      <c r="D208" s="48"/>
    </row>
    <row r="209" ht="15.75" customHeight="1">
      <c r="A209" s="48"/>
      <c r="B209" s="48"/>
      <c r="C209" s="45" t="s">
        <v>130</v>
      </c>
      <c r="D209" s="48"/>
    </row>
    <row r="210" ht="15.75" customHeight="1">
      <c r="A210" s="48"/>
      <c r="B210" s="48"/>
      <c r="C210" s="45" t="s">
        <v>499</v>
      </c>
      <c r="D210" s="48"/>
    </row>
    <row r="211" ht="15.75" customHeight="1">
      <c r="A211" s="48"/>
      <c r="B211" s="48"/>
      <c r="C211" s="45" t="s">
        <v>500</v>
      </c>
      <c r="D211" s="48"/>
    </row>
    <row r="212" ht="15.75" customHeight="1">
      <c r="A212" s="48"/>
      <c r="B212" s="48"/>
      <c r="C212" s="45" t="s">
        <v>183</v>
      </c>
      <c r="D212" s="48"/>
    </row>
    <row r="213" ht="15.75" customHeight="1">
      <c r="A213" s="48"/>
      <c r="B213" s="48"/>
      <c r="C213" s="45" t="s">
        <v>190</v>
      </c>
      <c r="D213" s="48"/>
    </row>
    <row r="214" ht="15.75" customHeight="1">
      <c r="A214" s="48"/>
      <c r="B214" s="48"/>
      <c r="C214" s="45" t="s">
        <v>195</v>
      </c>
      <c r="D214" s="48"/>
    </row>
    <row r="215" ht="15.75" customHeight="1">
      <c r="A215" s="48"/>
      <c r="B215" s="48"/>
      <c r="C215" s="45" t="s">
        <v>385</v>
      </c>
      <c r="D215" s="48"/>
    </row>
    <row r="216" ht="15.75" customHeight="1">
      <c r="A216" s="48"/>
      <c r="B216" s="48"/>
      <c r="C216" s="45" t="s">
        <v>391</v>
      </c>
      <c r="D216" s="48"/>
    </row>
    <row r="217" ht="15.75" customHeight="1">
      <c r="A217" s="48"/>
      <c r="B217" s="48"/>
      <c r="C217" s="45" t="s">
        <v>509</v>
      </c>
      <c r="D217" s="48"/>
    </row>
    <row r="218" ht="15.75" customHeight="1">
      <c r="A218" s="48"/>
      <c r="B218" s="48"/>
      <c r="C218" s="45" t="s">
        <v>514</v>
      </c>
      <c r="D218" s="48"/>
    </row>
    <row r="219" ht="15.75" customHeight="1">
      <c r="A219" s="48"/>
      <c r="B219" s="48"/>
      <c r="C219" s="45" t="s">
        <v>516</v>
      </c>
      <c r="D219" s="48"/>
    </row>
    <row r="220" ht="15.75" customHeight="1">
      <c r="A220" s="48"/>
      <c r="B220" s="48"/>
      <c r="C220" s="45" t="s">
        <v>520</v>
      </c>
      <c r="D220" s="48"/>
    </row>
    <row r="221" ht="15.75" customHeight="1">
      <c r="A221" s="48"/>
      <c r="B221" s="48"/>
      <c r="C221" s="45" t="s">
        <v>521</v>
      </c>
      <c r="D221" s="48"/>
    </row>
    <row r="222" ht="15.75" customHeight="1">
      <c r="A222" s="48"/>
      <c r="B222" s="48"/>
      <c r="C222" s="45" t="s">
        <v>525</v>
      </c>
      <c r="D222" s="48"/>
    </row>
    <row r="223" ht="15.75" customHeight="1">
      <c r="A223" s="48"/>
      <c r="B223" s="48"/>
      <c r="C223" s="45" t="s">
        <v>527</v>
      </c>
      <c r="D223" s="48"/>
    </row>
    <row r="224" ht="15.75" customHeight="1">
      <c r="A224" s="48"/>
      <c r="B224" s="48"/>
      <c r="C224" s="45" t="s">
        <v>529</v>
      </c>
      <c r="D224" s="48"/>
    </row>
    <row r="225" ht="15.75" customHeight="1">
      <c r="A225" s="48"/>
      <c r="B225" s="48"/>
      <c r="C225" s="45" t="s">
        <v>534</v>
      </c>
      <c r="D225" s="48"/>
    </row>
    <row r="226" ht="15.75" customHeight="1">
      <c r="A226" s="48"/>
      <c r="B226" s="48"/>
      <c r="C226" s="45" t="s">
        <v>535</v>
      </c>
      <c r="D226" s="48"/>
    </row>
    <row r="227" ht="15.75" customHeight="1">
      <c r="A227" s="48"/>
      <c r="B227" s="48"/>
      <c r="C227" s="45" t="s">
        <v>539</v>
      </c>
      <c r="D227" s="48"/>
    </row>
    <row r="228" ht="15.75" customHeight="1">
      <c r="A228" s="48"/>
      <c r="B228" s="48"/>
      <c r="C228" s="45" t="s">
        <v>541</v>
      </c>
      <c r="D228" s="48"/>
    </row>
    <row r="229" ht="15.75" customHeight="1">
      <c r="A229" s="48"/>
      <c r="B229" s="48"/>
      <c r="C229" s="45" t="s">
        <v>545</v>
      </c>
      <c r="D229" s="48"/>
    </row>
    <row r="230" ht="15.75" customHeight="1">
      <c r="A230" s="48"/>
      <c r="B230" s="48"/>
      <c r="C230" s="45" t="s">
        <v>547</v>
      </c>
      <c r="D230" s="48"/>
    </row>
    <row r="231" ht="15.75" customHeight="1">
      <c r="A231" s="48"/>
      <c r="B231" s="48"/>
      <c r="C231" s="45" t="s">
        <v>549</v>
      </c>
      <c r="D231" s="48"/>
    </row>
    <row r="232" ht="15.75" customHeight="1">
      <c r="A232" s="48"/>
      <c r="B232" s="48"/>
      <c r="C232" s="45" t="s">
        <v>552</v>
      </c>
      <c r="D232" s="48"/>
    </row>
    <row r="233" ht="15.75" customHeight="1">
      <c r="A233" s="48"/>
      <c r="B233" s="48"/>
      <c r="C233" s="45" t="s">
        <v>553</v>
      </c>
      <c r="D233" s="48"/>
    </row>
    <row r="234" ht="15.75" customHeight="1">
      <c r="A234" s="48"/>
      <c r="B234" s="48"/>
      <c r="C234" s="45" t="s">
        <v>555</v>
      </c>
      <c r="D234" s="48"/>
    </row>
    <row r="235" ht="15.75" customHeight="1">
      <c r="A235" s="48"/>
      <c r="B235" s="48"/>
      <c r="C235" s="45" t="s">
        <v>557</v>
      </c>
      <c r="D235" s="48"/>
    </row>
    <row r="236" ht="15.75" customHeight="1">
      <c r="A236" s="48"/>
      <c r="B236" s="48"/>
      <c r="C236" s="45" t="s">
        <v>558</v>
      </c>
      <c r="D236" s="48"/>
    </row>
    <row r="237" ht="15.75" customHeight="1">
      <c r="A237" s="48"/>
      <c r="B237" s="48"/>
      <c r="C237" s="45" t="s">
        <v>561</v>
      </c>
      <c r="D237" s="48"/>
    </row>
    <row r="238" ht="15.75" customHeight="1">
      <c r="A238" s="48"/>
      <c r="B238" s="48"/>
      <c r="C238" s="45" t="s">
        <v>397</v>
      </c>
      <c r="D238" s="48"/>
    </row>
    <row r="239" ht="15.75" customHeight="1">
      <c r="A239" s="48"/>
      <c r="B239" s="48"/>
      <c r="C239" s="45" t="s">
        <v>403</v>
      </c>
      <c r="D239" s="48"/>
    </row>
    <row r="240" ht="15.75" customHeight="1">
      <c r="A240" s="48"/>
      <c r="B240" s="48"/>
      <c r="C240" s="45" t="s">
        <v>507</v>
      </c>
      <c r="D240" s="48"/>
    </row>
    <row r="241" ht="15.75" customHeight="1">
      <c r="A241" s="48"/>
      <c r="B241" s="48"/>
      <c r="C241" s="45" t="s">
        <v>511</v>
      </c>
      <c r="D241" s="48"/>
    </row>
    <row r="242" ht="15.75" customHeight="1">
      <c r="A242" s="48"/>
      <c r="B242" s="48"/>
      <c r="C242" s="51" t="s">
        <v>570</v>
      </c>
      <c r="D242" s="48"/>
    </row>
    <row r="243" ht="15.75" customHeight="1">
      <c r="A243" s="48"/>
      <c r="B243" s="48"/>
      <c r="C243" s="45" t="s">
        <v>571</v>
      </c>
      <c r="D243" s="48"/>
    </row>
    <row r="244" ht="15.75" customHeight="1">
      <c r="A244" s="48"/>
      <c r="B244" s="48"/>
      <c r="C244" s="45" t="s">
        <v>575</v>
      </c>
      <c r="D244" s="48"/>
    </row>
    <row r="245" ht="15.75" customHeight="1">
      <c r="A245" s="48"/>
      <c r="B245" s="48"/>
      <c r="C245" s="45" t="s">
        <v>463</v>
      </c>
      <c r="D245" s="48"/>
    </row>
    <row r="246" ht="15.75" customHeight="1">
      <c r="A246" s="48"/>
      <c r="B246" s="48"/>
      <c r="C246" s="45" t="s">
        <v>469</v>
      </c>
      <c r="D246" s="48"/>
    </row>
    <row r="247" ht="15.75" customHeight="1">
      <c r="A247" s="48"/>
      <c r="B247" s="48"/>
      <c r="C247" s="45" t="s">
        <v>474</v>
      </c>
      <c r="D247" s="48"/>
    </row>
    <row r="248" ht="15.75" customHeight="1">
      <c r="A248" s="48"/>
      <c r="B248" s="48"/>
      <c r="C248" s="45" t="s">
        <v>478</v>
      </c>
      <c r="D248" s="48"/>
    </row>
    <row r="249" ht="15.75" customHeight="1">
      <c r="A249" s="48"/>
      <c r="B249" s="48"/>
      <c r="C249" s="45" t="s">
        <v>580</v>
      </c>
      <c r="D249" s="48"/>
    </row>
    <row r="250" ht="15.75" customHeight="1">
      <c r="A250" s="48"/>
      <c r="B250" s="48"/>
      <c r="C250" s="45" t="s">
        <v>581</v>
      </c>
      <c r="D250" s="48"/>
    </row>
    <row r="251" ht="15.75" customHeight="1">
      <c r="A251" s="48"/>
      <c r="B251" s="48"/>
      <c r="C251" s="45" t="s">
        <v>584</v>
      </c>
      <c r="D251" s="48"/>
    </row>
    <row r="252" ht="15.75" customHeight="1">
      <c r="A252" s="48"/>
      <c r="B252" s="48"/>
      <c r="C252" s="45" t="s">
        <v>585</v>
      </c>
      <c r="D252" s="48"/>
    </row>
    <row r="253" ht="15.75" customHeight="1">
      <c r="A253" s="48"/>
      <c r="B253" s="48"/>
      <c r="C253" s="45" t="s">
        <v>587</v>
      </c>
      <c r="D253" s="48"/>
    </row>
    <row r="254" ht="15.75" customHeight="1">
      <c r="A254" s="48"/>
      <c r="B254" s="48"/>
      <c r="C254" s="45" t="s">
        <v>589</v>
      </c>
      <c r="D254" s="48"/>
    </row>
    <row r="255" ht="15.75" customHeight="1">
      <c r="A255" s="48"/>
      <c r="B255" s="48"/>
      <c r="C255" s="45" t="s">
        <v>591</v>
      </c>
      <c r="D255" s="48"/>
    </row>
    <row r="256" ht="15.75" customHeight="1">
      <c r="A256" s="48"/>
      <c r="B256" s="48"/>
      <c r="C256" s="45" t="s">
        <v>593</v>
      </c>
      <c r="D256" s="48"/>
    </row>
    <row r="257" ht="15.75" customHeight="1">
      <c r="A257" s="48"/>
      <c r="B257" s="48"/>
      <c r="C257" s="45" t="s">
        <v>595</v>
      </c>
      <c r="D257" s="48"/>
    </row>
    <row r="258" ht="15.75" customHeight="1">
      <c r="A258" s="48"/>
      <c r="B258" s="48"/>
      <c r="C258" s="45" t="s">
        <v>597</v>
      </c>
      <c r="D258" s="48"/>
    </row>
    <row r="259" ht="15.75" customHeight="1">
      <c r="A259" s="48"/>
      <c r="B259" s="48"/>
      <c r="C259" s="45" t="s">
        <v>598</v>
      </c>
      <c r="D259" s="48"/>
    </row>
    <row r="260" ht="15.75" customHeight="1">
      <c r="A260" s="48"/>
      <c r="B260" s="48"/>
      <c r="C260" s="45" t="s">
        <v>601</v>
      </c>
      <c r="D260" s="48"/>
    </row>
    <row r="261" ht="15.75" customHeight="1">
      <c r="A261" s="48"/>
      <c r="B261" s="48"/>
      <c r="C261" s="45" t="s">
        <v>602</v>
      </c>
      <c r="D261" s="48"/>
    </row>
    <row r="262" ht="15.75" customHeight="1">
      <c r="A262" s="48"/>
      <c r="B262" s="48"/>
      <c r="C262" s="45" t="s">
        <v>605</v>
      </c>
      <c r="D262" s="48"/>
    </row>
    <row r="263" ht="15.75" customHeight="1">
      <c r="A263" s="48"/>
      <c r="B263" s="48"/>
      <c r="C263" s="45" t="s">
        <v>540</v>
      </c>
      <c r="D263" s="48"/>
    </row>
    <row r="264" ht="15.75" customHeight="1">
      <c r="A264" s="48"/>
      <c r="B264" s="48"/>
      <c r="C264" s="45" t="s">
        <v>542</v>
      </c>
      <c r="D264" s="48"/>
    </row>
    <row r="265" ht="15.75" customHeight="1">
      <c r="A265" s="48"/>
      <c r="B265" s="48"/>
      <c r="C265" s="45" t="s">
        <v>544</v>
      </c>
      <c r="D265" s="48"/>
    </row>
    <row r="266" ht="15.75" customHeight="1">
      <c r="A266" s="28" t="s">
        <v>747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14"/>
    <col customWidth="1" min="2" max="2" width="20.0"/>
    <col customWidth="1" min="3" max="3" width="19.0"/>
    <col customWidth="1" min="4" max="4" width="34.0"/>
    <col customWidth="1" min="5" max="5" width="60.0"/>
    <col customWidth="1" min="6" max="6" width="19.0"/>
    <col customWidth="1" min="7" max="7" width="51.86"/>
    <col customWidth="1" min="8" max="8" width="19.0"/>
    <col customWidth="1" min="9" max="9" width="10.0"/>
    <col customWidth="1" min="10" max="10" width="55.0"/>
    <col customWidth="1" min="11" max="11" width="26.0"/>
    <col customWidth="1" min="12" max="28" width="8.71"/>
  </cols>
  <sheetData>
    <row r="1">
      <c r="A1" s="2" t="s">
        <v>1</v>
      </c>
      <c r="B1" s="2" t="s">
        <v>4</v>
      </c>
      <c r="C1" s="2" t="s">
        <v>6</v>
      </c>
      <c r="D1" s="2" t="s">
        <v>8</v>
      </c>
      <c r="E1" s="2" t="s">
        <v>9</v>
      </c>
      <c r="F1" s="6" t="s">
        <v>12</v>
      </c>
      <c r="G1" s="6" t="s">
        <v>18</v>
      </c>
      <c r="H1" s="2" t="s">
        <v>5</v>
      </c>
      <c r="I1" s="2" t="s">
        <v>19</v>
      </c>
      <c r="J1" s="2" t="s">
        <v>20</v>
      </c>
      <c r="K1" s="2" t="s">
        <v>21</v>
      </c>
    </row>
    <row r="2">
      <c r="A2" s="11" t="s">
        <v>13</v>
      </c>
      <c r="B2" s="11" t="s">
        <v>26</v>
      </c>
      <c r="C2" s="11" t="s">
        <v>27</v>
      </c>
      <c r="D2" s="11" t="s">
        <v>28</v>
      </c>
      <c r="E2" s="14" t="s">
        <v>29</v>
      </c>
      <c r="F2" s="15" t="s">
        <v>32</v>
      </c>
      <c r="G2" s="17" t="s">
        <v>35</v>
      </c>
      <c r="H2" s="18" t="s">
        <v>27</v>
      </c>
      <c r="I2" s="11"/>
      <c r="J2" s="14"/>
    </row>
    <row r="3">
      <c r="A3" s="19" t="s">
        <v>13</v>
      </c>
      <c r="B3" s="19" t="s">
        <v>37</v>
      </c>
      <c r="C3" s="19" t="s">
        <v>38</v>
      </c>
      <c r="D3" s="19" t="s">
        <v>39</v>
      </c>
      <c r="E3" s="20" t="s">
        <v>41</v>
      </c>
      <c r="F3" s="22" t="s">
        <v>45</v>
      </c>
      <c r="G3" s="23" t="s">
        <v>48</v>
      </c>
      <c r="H3" s="24" t="s">
        <v>23</v>
      </c>
      <c r="I3" s="19"/>
      <c r="J3" s="20"/>
    </row>
    <row r="4">
      <c r="A4" s="19" t="s">
        <v>13</v>
      </c>
      <c r="B4" s="19" t="s">
        <v>51</v>
      </c>
      <c r="C4" s="19" t="s">
        <v>52</v>
      </c>
      <c r="D4" s="19" t="s">
        <v>39</v>
      </c>
      <c r="E4" s="20" t="s">
        <v>53</v>
      </c>
      <c r="F4" s="22" t="s">
        <v>45</v>
      </c>
      <c r="G4" s="23" t="s">
        <v>48</v>
      </c>
      <c r="H4" s="24" t="s">
        <v>23</v>
      </c>
      <c r="I4" s="19"/>
      <c r="J4" s="20"/>
    </row>
    <row r="5">
      <c r="A5" s="19" t="s">
        <v>13</v>
      </c>
      <c r="B5" s="19" t="s">
        <v>55</v>
      </c>
      <c r="C5" s="19" t="s">
        <v>57</v>
      </c>
      <c r="D5" s="19" t="s">
        <v>39</v>
      </c>
      <c r="E5" s="20" t="s">
        <v>58</v>
      </c>
      <c r="F5" s="22" t="s">
        <v>45</v>
      </c>
      <c r="G5" s="23" t="s">
        <v>48</v>
      </c>
      <c r="H5" s="24" t="s">
        <v>23</v>
      </c>
      <c r="I5" s="19"/>
      <c r="J5" s="20"/>
    </row>
    <row r="6">
      <c r="A6" s="19" t="s">
        <v>13</v>
      </c>
      <c r="B6" s="19" t="s">
        <v>59</v>
      </c>
      <c r="C6" s="19" t="s">
        <v>60</v>
      </c>
      <c r="D6" s="19" t="s">
        <v>39</v>
      </c>
      <c r="E6" s="20" t="s">
        <v>62</v>
      </c>
      <c r="F6" s="22" t="s">
        <v>45</v>
      </c>
      <c r="G6" s="23" t="s">
        <v>48</v>
      </c>
      <c r="H6" s="24" t="s">
        <v>23</v>
      </c>
      <c r="I6" s="19"/>
      <c r="J6" s="20"/>
    </row>
    <row r="7">
      <c r="A7" s="19" t="s">
        <v>13</v>
      </c>
      <c r="B7" s="19" t="s">
        <v>63</v>
      </c>
      <c r="C7" s="19" t="s">
        <v>65</v>
      </c>
      <c r="D7" s="19" t="s">
        <v>39</v>
      </c>
      <c r="E7" s="20" t="s">
        <v>67</v>
      </c>
      <c r="F7" s="22" t="s">
        <v>45</v>
      </c>
      <c r="G7" s="23" t="s">
        <v>48</v>
      </c>
      <c r="H7" s="24" t="s">
        <v>23</v>
      </c>
      <c r="I7" s="19"/>
      <c r="J7" s="20"/>
    </row>
    <row r="8">
      <c r="A8" s="19" t="s">
        <v>13</v>
      </c>
      <c r="B8" s="19" t="s">
        <v>71</v>
      </c>
      <c r="C8" s="19" t="s">
        <v>72</v>
      </c>
      <c r="D8" s="19" t="s">
        <v>39</v>
      </c>
      <c r="E8" s="20" t="s">
        <v>74</v>
      </c>
      <c r="F8" s="22" t="s">
        <v>45</v>
      </c>
      <c r="G8" s="23" t="s">
        <v>48</v>
      </c>
      <c r="H8" s="24" t="s">
        <v>23</v>
      </c>
      <c r="I8" s="19"/>
      <c r="J8" s="20"/>
    </row>
    <row r="9">
      <c r="A9" s="19" t="s">
        <v>13</v>
      </c>
      <c r="B9" s="19" t="s">
        <v>76</v>
      </c>
      <c r="C9" s="19" t="s">
        <v>77</v>
      </c>
      <c r="D9" s="19" t="s">
        <v>39</v>
      </c>
      <c r="E9" s="20" t="s">
        <v>78</v>
      </c>
      <c r="F9" s="22" t="s">
        <v>45</v>
      </c>
      <c r="G9" s="23" t="s">
        <v>48</v>
      </c>
      <c r="H9" s="24" t="s">
        <v>23</v>
      </c>
      <c r="I9" s="19"/>
      <c r="J9" s="20"/>
    </row>
    <row r="10">
      <c r="A10" s="19" t="s">
        <v>13</v>
      </c>
      <c r="B10" s="19" t="s">
        <v>79</v>
      </c>
      <c r="C10" s="19" t="s">
        <v>80</v>
      </c>
      <c r="D10" s="19" t="s">
        <v>39</v>
      </c>
      <c r="E10" s="20" t="s">
        <v>81</v>
      </c>
      <c r="F10" s="22" t="s">
        <v>45</v>
      </c>
      <c r="G10" s="23" t="s">
        <v>48</v>
      </c>
      <c r="H10" s="24" t="s">
        <v>23</v>
      </c>
      <c r="I10" s="19"/>
      <c r="J10" s="20"/>
    </row>
    <row r="11">
      <c r="A11" s="19" t="s">
        <v>13</v>
      </c>
      <c r="B11" s="19" t="s">
        <v>82</v>
      </c>
      <c r="C11" s="19" t="s">
        <v>83</v>
      </c>
      <c r="D11" s="19" t="s">
        <v>39</v>
      </c>
      <c r="E11" s="20" t="s">
        <v>84</v>
      </c>
      <c r="F11" s="22" t="s">
        <v>45</v>
      </c>
      <c r="G11" s="23" t="s">
        <v>48</v>
      </c>
      <c r="H11" s="24" t="s">
        <v>23</v>
      </c>
      <c r="I11" s="19"/>
      <c r="J11" s="20"/>
    </row>
    <row r="12">
      <c r="A12" s="19" t="s">
        <v>13</v>
      </c>
      <c r="B12" s="19" t="s">
        <v>85</v>
      </c>
      <c r="C12" s="19" t="s">
        <v>86</v>
      </c>
      <c r="D12" s="19" t="s">
        <v>39</v>
      </c>
      <c r="E12" s="20" t="s">
        <v>87</v>
      </c>
      <c r="F12" s="30" t="s">
        <v>88</v>
      </c>
      <c r="G12" s="23" t="s">
        <v>89</v>
      </c>
      <c r="H12" s="24" t="s">
        <v>23</v>
      </c>
      <c r="I12" s="19"/>
      <c r="J12" s="20"/>
    </row>
    <row r="13">
      <c r="A13" s="19" t="s">
        <v>13</v>
      </c>
      <c r="B13" s="19" t="s">
        <v>90</v>
      </c>
      <c r="C13" s="19" t="s">
        <v>91</v>
      </c>
      <c r="D13" s="19" t="s">
        <v>39</v>
      </c>
      <c r="E13" s="20" t="s">
        <v>92</v>
      </c>
      <c r="F13" s="22" t="s">
        <v>45</v>
      </c>
      <c r="G13" s="23" t="s">
        <v>48</v>
      </c>
      <c r="H13" s="24" t="s">
        <v>23</v>
      </c>
      <c r="I13" s="19"/>
      <c r="J13" s="20"/>
    </row>
    <row r="14">
      <c r="A14" s="19" t="s">
        <v>13</v>
      </c>
      <c r="B14" s="19" t="s">
        <v>93</v>
      </c>
      <c r="C14" s="19" t="s">
        <v>94</v>
      </c>
      <c r="D14" s="19" t="s">
        <v>39</v>
      </c>
      <c r="E14" s="20" t="s">
        <v>95</v>
      </c>
      <c r="F14" s="22" t="s">
        <v>45</v>
      </c>
      <c r="G14" s="23" t="s">
        <v>48</v>
      </c>
      <c r="H14" s="24" t="s">
        <v>23</v>
      </c>
      <c r="I14" s="19"/>
      <c r="J14" s="20"/>
    </row>
    <row r="15">
      <c r="A15" s="19" t="s">
        <v>13</v>
      </c>
      <c r="B15" s="19" t="s">
        <v>96</v>
      </c>
      <c r="C15" s="19" t="s">
        <v>97</v>
      </c>
      <c r="D15" s="19" t="s">
        <v>39</v>
      </c>
      <c r="E15" s="20" t="s">
        <v>98</v>
      </c>
      <c r="F15" s="22" t="s">
        <v>45</v>
      </c>
      <c r="G15" s="23" t="s">
        <v>48</v>
      </c>
      <c r="H15" s="24" t="s">
        <v>23</v>
      </c>
      <c r="I15" s="19"/>
      <c r="J15" s="20"/>
    </row>
    <row r="16">
      <c r="A16" s="19" t="s">
        <v>13</v>
      </c>
      <c r="B16" s="19" t="s">
        <v>99</v>
      </c>
      <c r="C16" s="19" t="s">
        <v>100</v>
      </c>
      <c r="D16" s="19" t="s">
        <v>39</v>
      </c>
      <c r="E16" s="20" t="s">
        <v>101</v>
      </c>
      <c r="F16" s="22" t="s">
        <v>45</v>
      </c>
      <c r="G16" s="23" t="s">
        <v>48</v>
      </c>
      <c r="H16" s="24" t="s">
        <v>23</v>
      </c>
      <c r="I16" s="19"/>
      <c r="J16" s="20"/>
    </row>
    <row r="17">
      <c r="A17" s="19" t="s">
        <v>13</v>
      </c>
      <c r="B17" s="19" t="s">
        <v>102</v>
      </c>
      <c r="C17" s="19" t="s">
        <v>103</v>
      </c>
      <c r="D17" s="19" t="s">
        <v>39</v>
      </c>
      <c r="E17" s="20" t="s">
        <v>104</v>
      </c>
      <c r="F17" s="22" t="s">
        <v>45</v>
      </c>
      <c r="G17" s="23" t="s">
        <v>48</v>
      </c>
      <c r="H17" s="24" t="s">
        <v>23</v>
      </c>
      <c r="I17" s="19"/>
      <c r="J17" s="20"/>
    </row>
    <row r="18">
      <c r="A18" s="19" t="s">
        <v>13</v>
      </c>
      <c r="B18" s="19" t="s">
        <v>105</v>
      </c>
      <c r="C18" s="19" t="s">
        <v>106</v>
      </c>
      <c r="D18" s="19" t="s">
        <v>39</v>
      </c>
      <c r="E18" s="20" t="s">
        <v>107</v>
      </c>
      <c r="F18" s="22" t="s">
        <v>45</v>
      </c>
      <c r="G18" s="23" t="s">
        <v>48</v>
      </c>
      <c r="H18" s="24" t="s">
        <v>23</v>
      </c>
      <c r="I18" s="19"/>
      <c r="J18" s="20"/>
    </row>
    <row r="19">
      <c r="A19" s="19" t="s">
        <v>13</v>
      </c>
      <c r="B19" s="19" t="s">
        <v>108</v>
      </c>
      <c r="C19" s="19" t="s">
        <v>109</v>
      </c>
      <c r="D19" s="19" t="s">
        <v>39</v>
      </c>
      <c r="E19" s="20" t="s">
        <v>110</v>
      </c>
      <c r="F19" s="22" t="s">
        <v>45</v>
      </c>
      <c r="G19" s="23" t="s">
        <v>48</v>
      </c>
      <c r="H19" s="24" t="s">
        <v>23</v>
      </c>
      <c r="I19" s="19"/>
      <c r="J19" s="20"/>
    </row>
    <row r="20">
      <c r="A20" s="19" t="s">
        <v>13</v>
      </c>
      <c r="B20" s="19" t="s">
        <v>111</v>
      </c>
      <c r="C20" s="19" t="s">
        <v>112</v>
      </c>
      <c r="D20" s="19" t="s">
        <v>39</v>
      </c>
      <c r="E20" s="20" t="s">
        <v>113</v>
      </c>
      <c r="F20" s="22" t="s">
        <v>45</v>
      </c>
      <c r="G20" s="23" t="s">
        <v>48</v>
      </c>
      <c r="H20" s="24" t="s">
        <v>23</v>
      </c>
      <c r="I20" s="19"/>
      <c r="J20" s="20"/>
    </row>
    <row r="21" ht="15.75" customHeight="1">
      <c r="A21" s="19" t="s">
        <v>13</v>
      </c>
      <c r="B21" s="19" t="s">
        <v>114</v>
      </c>
      <c r="C21" s="19" t="s">
        <v>115</v>
      </c>
      <c r="D21" s="19" t="s">
        <v>39</v>
      </c>
      <c r="E21" s="20" t="s">
        <v>116</v>
      </c>
      <c r="F21" s="22" t="s">
        <v>45</v>
      </c>
      <c r="G21" s="23" t="s">
        <v>48</v>
      </c>
      <c r="H21" s="24" t="s">
        <v>23</v>
      </c>
      <c r="I21" s="19"/>
      <c r="J21" s="20"/>
    </row>
    <row r="22" ht="15.75" customHeight="1">
      <c r="A22" s="19" t="s">
        <v>13</v>
      </c>
      <c r="B22" s="19" t="s">
        <v>117</v>
      </c>
      <c r="C22" s="19" t="s">
        <v>118</v>
      </c>
      <c r="D22" s="19" t="s">
        <v>39</v>
      </c>
      <c r="E22" s="20" t="s">
        <v>119</v>
      </c>
      <c r="F22" s="22" t="s">
        <v>45</v>
      </c>
      <c r="G22" s="23" t="s">
        <v>48</v>
      </c>
      <c r="H22" s="24" t="s">
        <v>23</v>
      </c>
      <c r="I22" s="19"/>
      <c r="J22" s="20"/>
    </row>
    <row r="23" ht="15.75" customHeight="1">
      <c r="A23" s="19" t="s">
        <v>13</v>
      </c>
      <c r="B23" s="19" t="s">
        <v>120</v>
      </c>
      <c r="C23" s="19" t="s">
        <v>122</v>
      </c>
      <c r="D23" s="19" t="s">
        <v>39</v>
      </c>
      <c r="E23" s="20" t="s">
        <v>124</v>
      </c>
      <c r="F23" s="22" t="s">
        <v>45</v>
      </c>
      <c r="G23" s="23" t="s">
        <v>48</v>
      </c>
      <c r="H23" s="24" t="s">
        <v>23</v>
      </c>
      <c r="I23" s="19"/>
      <c r="J23" s="20"/>
    </row>
    <row r="24" ht="15.75" customHeight="1">
      <c r="A24" s="19" t="s">
        <v>13</v>
      </c>
      <c r="B24" s="19" t="s">
        <v>126</v>
      </c>
      <c r="C24" s="19" t="s">
        <v>127</v>
      </c>
      <c r="D24" s="19" t="s">
        <v>39</v>
      </c>
      <c r="E24" s="20" t="s">
        <v>128</v>
      </c>
      <c r="F24" s="22" t="s">
        <v>45</v>
      </c>
      <c r="G24" s="23" t="s">
        <v>48</v>
      </c>
      <c r="H24" s="24" t="s">
        <v>23</v>
      </c>
      <c r="I24" s="19"/>
      <c r="J24" s="20"/>
    </row>
    <row r="25" ht="15.75" customHeight="1">
      <c r="A25" s="19" t="s">
        <v>13</v>
      </c>
      <c r="B25" s="19" t="s">
        <v>130</v>
      </c>
      <c r="C25" s="19" t="s">
        <v>132</v>
      </c>
      <c r="D25" s="19" t="s">
        <v>39</v>
      </c>
      <c r="E25" s="20" t="s">
        <v>133</v>
      </c>
      <c r="F25" s="22" t="s">
        <v>45</v>
      </c>
      <c r="G25" s="23" t="s">
        <v>48</v>
      </c>
      <c r="H25" s="24" t="s">
        <v>23</v>
      </c>
      <c r="I25" s="19"/>
      <c r="J25" s="20"/>
    </row>
    <row r="26" ht="15.75" customHeight="1">
      <c r="A26" s="11" t="s">
        <v>13</v>
      </c>
      <c r="B26" s="11" t="s">
        <v>121</v>
      </c>
      <c r="C26" s="11" t="s">
        <v>135</v>
      </c>
      <c r="D26" s="11" t="s">
        <v>136</v>
      </c>
      <c r="E26" s="14" t="s">
        <v>137</v>
      </c>
      <c r="F26" s="22" t="s">
        <v>45</v>
      </c>
      <c r="G26" s="17" t="s">
        <v>48</v>
      </c>
      <c r="H26" s="24" t="s">
        <v>23</v>
      </c>
      <c r="I26" s="11"/>
      <c r="J26" s="14"/>
    </row>
    <row r="27" ht="15.75" customHeight="1">
      <c r="A27" s="11" t="s">
        <v>13</v>
      </c>
      <c r="B27" s="11" t="s">
        <v>123</v>
      </c>
      <c r="C27" s="11" t="s">
        <v>139</v>
      </c>
      <c r="D27" s="11" t="s">
        <v>136</v>
      </c>
      <c r="E27" s="14" t="s">
        <v>141</v>
      </c>
      <c r="F27" s="22" t="s">
        <v>45</v>
      </c>
      <c r="G27" s="17" t="s">
        <v>48</v>
      </c>
      <c r="H27" s="24" t="s">
        <v>23</v>
      </c>
      <c r="I27" s="11"/>
      <c r="J27" s="14"/>
    </row>
    <row r="28" ht="15.75" customHeight="1">
      <c r="A28" s="11" t="s">
        <v>13</v>
      </c>
      <c r="B28" s="11" t="s">
        <v>125</v>
      </c>
      <c r="C28" s="11" t="s">
        <v>143</v>
      </c>
      <c r="D28" s="11" t="s">
        <v>136</v>
      </c>
      <c r="E28" s="14" t="s">
        <v>144</v>
      </c>
      <c r="F28" s="22" t="s">
        <v>45</v>
      </c>
      <c r="G28" s="17" t="s">
        <v>48</v>
      </c>
      <c r="H28" s="24" t="s">
        <v>23</v>
      </c>
      <c r="I28" s="11"/>
      <c r="J28" s="14"/>
    </row>
    <row r="29" ht="15.75" customHeight="1">
      <c r="A29" s="11" t="s">
        <v>13</v>
      </c>
      <c r="B29" s="11" t="s">
        <v>129</v>
      </c>
      <c r="C29" s="11" t="s">
        <v>146</v>
      </c>
      <c r="D29" s="11" t="s">
        <v>136</v>
      </c>
      <c r="E29" s="14" t="s">
        <v>147</v>
      </c>
      <c r="F29" s="22" t="s">
        <v>45</v>
      </c>
      <c r="G29" s="17" t="s">
        <v>48</v>
      </c>
      <c r="H29" s="24" t="s">
        <v>23</v>
      </c>
      <c r="I29" s="11"/>
      <c r="J29" s="14"/>
    </row>
    <row r="30" ht="15.75" customHeight="1">
      <c r="A30" s="11" t="s">
        <v>13</v>
      </c>
      <c r="B30" s="11" t="s">
        <v>131</v>
      </c>
      <c r="C30" s="11" t="s">
        <v>150</v>
      </c>
      <c r="D30" s="11" t="s">
        <v>136</v>
      </c>
      <c r="E30" s="14" t="s">
        <v>151</v>
      </c>
      <c r="F30" s="22" t="s">
        <v>45</v>
      </c>
      <c r="G30" s="17" t="s">
        <v>48</v>
      </c>
      <c r="H30" s="24" t="s">
        <v>23</v>
      </c>
      <c r="I30" s="11"/>
      <c r="J30" s="14"/>
    </row>
    <row r="31" ht="15.75" customHeight="1">
      <c r="A31" s="11" t="s">
        <v>13</v>
      </c>
      <c r="B31" s="11" t="s">
        <v>134</v>
      </c>
      <c r="C31" s="11" t="s">
        <v>153</v>
      </c>
      <c r="D31" s="11" t="s">
        <v>136</v>
      </c>
      <c r="E31" s="14" t="s">
        <v>154</v>
      </c>
      <c r="F31" s="22" t="s">
        <v>45</v>
      </c>
      <c r="G31" s="17" t="s">
        <v>48</v>
      </c>
      <c r="H31" s="24" t="s">
        <v>23</v>
      </c>
      <c r="I31" s="11"/>
      <c r="J31" s="14"/>
    </row>
    <row r="32" ht="15.75" customHeight="1">
      <c r="A32" s="11" t="s">
        <v>13</v>
      </c>
      <c r="B32" s="11" t="s">
        <v>138</v>
      </c>
      <c r="C32" s="11" t="s">
        <v>156</v>
      </c>
      <c r="D32" s="11" t="s">
        <v>136</v>
      </c>
      <c r="E32" s="14" t="s">
        <v>158</v>
      </c>
      <c r="F32" s="22" t="s">
        <v>45</v>
      </c>
      <c r="G32" s="17" t="s">
        <v>48</v>
      </c>
      <c r="H32" s="24" t="s">
        <v>23</v>
      </c>
      <c r="I32" s="11"/>
      <c r="J32" s="14"/>
    </row>
    <row r="33" ht="15.75" customHeight="1">
      <c r="A33" s="11" t="s">
        <v>13</v>
      </c>
      <c r="B33" s="11" t="s">
        <v>140</v>
      </c>
      <c r="C33" s="11" t="s">
        <v>160</v>
      </c>
      <c r="D33" s="11" t="s">
        <v>136</v>
      </c>
      <c r="E33" s="14" t="s">
        <v>162</v>
      </c>
      <c r="F33" s="22" t="s">
        <v>45</v>
      </c>
      <c r="G33" s="17" t="s">
        <v>48</v>
      </c>
      <c r="H33" s="24" t="s">
        <v>23</v>
      </c>
      <c r="I33" s="11"/>
      <c r="J33" s="14"/>
    </row>
    <row r="34" ht="15.75" customHeight="1">
      <c r="A34" s="11" t="s">
        <v>13</v>
      </c>
      <c r="B34" s="11" t="s">
        <v>142</v>
      </c>
      <c r="C34" s="11" t="s">
        <v>164</v>
      </c>
      <c r="D34" s="11" t="s">
        <v>136</v>
      </c>
      <c r="E34" s="14" t="s">
        <v>166</v>
      </c>
      <c r="F34" s="22" t="s">
        <v>45</v>
      </c>
      <c r="G34" s="17" t="s">
        <v>48</v>
      </c>
      <c r="H34" s="24" t="s">
        <v>23</v>
      </c>
      <c r="I34" s="11"/>
      <c r="J34" s="14"/>
    </row>
    <row r="35" ht="15.75" customHeight="1">
      <c r="A35" s="11" t="s">
        <v>13</v>
      </c>
      <c r="B35" s="11" t="s">
        <v>145</v>
      </c>
      <c r="C35" s="11" t="s">
        <v>168</v>
      </c>
      <c r="D35" s="11" t="s">
        <v>136</v>
      </c>
      <c r="E35" s="14" t="s">
        <v>169</v>
      </c>
      <c r="F35" s="22" t="s">
        <v>45</v>
      </c>
      <c r="G35" s="17" t="s">
        <v>48</v>
      </c>
      <c r="H35" s="24" t="s">
        <v>23</v>
      </c>
      <c r="I35" s="11"/>
      <c r="J35" s="14"/>
    </row>
    <row r="36" ht="15.75" customHeight="1">
      <c r="A36" s="11" t="s">
        <v>13</v>
      </c>
      <c r="B36" s="11" t="s">
        <v>148</v>
      </c>
      <c r="C36" s="11" t="s">
        <v>171</v>
      </c>
      <c r="D36" s="11" t="s">
        <v>136</v>
      </c>
      <c r="E36" s="14" t="s">
        <v>173</v>
      </c>
      <c r="F36" s="22" t="s">
        <v>45</v>
      </c>
      <c r="G36" s="17" t="s">
        <v>48</v>
      </c>
      <c r="H36" s="24" t="s">
        <v>23</v>
      </c>
      <c r="I36" s="11"/>
      <c r="J36" s="14"/>
    </row>
    <row r="37" ht="15.75" customHeight="1">
      <c r="A37" s="11" t="s">
        <v>13</v>
      </c>
      <c r="B37" s="11" t="s">
        <v>149</v>
      </c>
      <c r="C37" s="11" t="s">
        <v>175</v>
      </c>
      <c r="D37" s="11" t="s">
        <v>136</v>
      </c>
      <c r="E37" s="14" t="s">
        <v>177</v>
      </c>
      <c r="F37" s="22" t="s">
        <v>45</v>
      </c>
      <c r="G37" s="17" t="s">
        <v>48</v>
      </c>
      <c r="H37" s="24" t="s">
        <v>23</v>
      </c>
      <c r="I37" s="11"/>
      <c r="J37" s="14"/>
    </row>
    <row r="38" ht="15.75" customHeight="1">
      <c r="A38" s="11" t="s">
        <v>13</v>
      </c>
      <c r="B38" s="11" t="s">
        <v>152</v>
      </c>
      <c r="C38" s="11" t="s">
        <v>179</v>
      </c>
      <c r="D38" s="11" t="s">
        <v>136</v>
      </c>
      <c r="E38" s="14" t="s">
        <v>181</v>
      </c>
      <c r="F38" s="22" t="s">
        <v>45</v>
      </c>
      <c r="G38" s="17" t="s">
        <v>48</v>
      </c>
      <c r="H38" s="24" t="s">
        <v>23</v>
      </c>
      <c r="I38" s="11"/>
      <c r="J38" s="14"/>
    </row>
    <row r="39" ht="15.75" customHeight="1">
      <c r="A39" s="11" t="s">
        <v>13</v>
      </c>
      <c r="B39" s="11" t="s">
        <v>183</v>
      </c>
      <c r="C39" s="11" t="s">
        <v>184</v>
      </c>
      <c r="D39" s="11" t="s">
        <v>136</v>
      </c>
      <c r="E39" s="14" t="s">
        <v>185</v>
      </c>
      <c r="F39" s="22" t="s">
        <v>45</v>
      </c>
      <c r="G39" s="17" t="s">
        <v>48</v>
      </c>
      <c r="H39" s="24" t="s">
        <v>23</v>
      </c>
      <c r="I39" s="11"/>
      <c r="J39" s="14"/>
    </row>
    <row r="40" ht="15.75" customHeight="1">
      <c r="A40" s="11" t="s">
        <v>13</v>
      </c>
      <c r="B40" s="11" t="s">
        <v>190</v>
      </c>
      <c r="C40" s="11" t="s">
        <v>192</v>
      </c>
      <c r="D40" s="11" t="s">
        <v>136</v>
      </c>
      <c r="E40" s="14" t="s">
        <v>193</v>
      </c>
      <c r="F40" s="22" t="s">
        <v>45</v>
      </c>
      <c r="G40" s="17" t="s">
        <v>48</v>
      </c>
      <c r="H40" s="24" t="s">
        <v>23</v>
      </c>
      <c r="I40" s="11"/>
      <c r="J40" s="14"/>
    </row>
    <row r="41" ht="15.75" customHeight="1">
      <c r="A41" s="11" t="s">
        <v>13</v>
      </c>
      <c r="B41" s="11" t="s">
        <v>195</v>
      </c>
      <c r="C41" s="11" t="s">
        <v>196</v>
      </c>
      <c r="D41" s="11" t="s">
        <v>136</v>
      </c>
      <c r="E41" s="14" t="s">
        <v>198</v>
      </c>
      <c r="F41" s="22" t="s">
        <v>45</v>
      </c>
      <c r="G41" s="17" t="s">
        <v>48</v>
      </c>
      <c r="H41" s="24" t="s">
        <v>23</v>
      </c>
      <c r="I41" s="11"/>
      <c r="J41" s="14"/>
    </row>
    <row r="42" ht="15.75" customHeight="1">
      <c r="A42" s="19" t="s">
        <v>13</v>
      </c>
      <c r="B42" s="19" t="s">
        <v>155</v>
      </c>
      <c r="C42" s="19" t="s">
        <v>200</v>
      </c>
      <c r="D42" s="19" t="s">
        <v>201</v>
      </c>
      <c r="E42" s="20" t="s">
        <v>202</v>
      </c>
      <c r="F42" s="22" t="s">
        <v>45</v>
      </c>
      <c r="G42" s="23" t="s">
        <v>48</v>
      </c>
      <c r="H42" s="24" t="s">
        <v>23</v>
      </c>
      <c r="I42" s="19"/>
      <c r="J42" s="20"/>
    </row>
    <row r="43" ht="15.75" customHeight="1">
      <c r="A43" s="19" t="s">
        <v>13</v>
      </c>
      <c r="B43" s="19" t="s">
        <v>157</v>
      </c>
      <c r="C43" s="19" t="s">
        <v>205</v>
      </c>
      <c r="D43" s="19" t="s">
        <v>201</v>
      </c>
      <c r="E43" s="20" t="s">
        <v>206</v>
      </c>
      <c r="F43" s="22" t="s">
        <v>45</v>
      </c>
      <c r="G43" s="23" t="s">
        <v>48</v>
      </c>
      <c r="H43" s="24" t="s">
        <v>23</v>
      </c>
      <c r="I43" s="19"/>
      <c r="J43" s="20"/>
    </row>
    <row r="44" ht="15.75" customHeight="1">
      <c r="A44" s="19" t="s">
        <v>13</v>
      </c>
      <c r="B44" s="19" t="s">
        <v>159</v>
      </c>
      <c r="C44" s="19" t="s">
        <v>208</v>
      </c>
      <c r="D44" s="19" t="s">
        <v>201</v>
      </c>
      <c r="E44" s="20" t="s">
        <v>209</v>
      </c>
      <c r="F44" s="22" t="s">
        <v>45</v>
      </c>
      <c r="G44" s="23" t="s">
        <v>48</v>
      </c>
      <c r="H44" s="24" t="s">
        <v>23</v>
      </c>
      <c r="I44" s="19"/>
      <c r="J44" s="20"/>
    </row>
    <row r="45" ht="15.75" customHeight="1">
      <c r="A45" s="19" t="s">
        <v>13</v>
      </c>
      <c r="B45" s="19" t="s">
        <v>161</v>
      </c>
      <c r="C45" s="19" t="s">
        <v>211</v>
      </c>
      <c r="D45" s="19" t="s">
        <v>201</v>
      </c>
      <c r="E45" s="20" t="s">
        <v>213</v>
      </c>
      <c r="F45" s="22" t="s">
        <v>45</v>
      </c>
      <c r="G45" s="23" t="s">
        <v>48</v>
      </c>
      <c r="H45" s="24" t="s">
        <v>23</v>
      </c>
      <c r="I45" s="19"/>
      <c r="J45" s="20"/>
    </row>
    <row r="46" ht="15.75" customHeight="1">
      <c r="A46" s="19" t="s">
        <v>13</v>
      </c>
      <c r="B46" s="19" t="s">
        <v>163</v>
      </c>
      <c r="C46" s="19" t="s">
        <v>215</v>
      </c>
      <c r="D46" s="19" t="s">
        <v>201</v>
      </c>
      <c r="E46" s="20" t="s">
        <v>216</v>
      </c>
      <c r="F46" s="22" t="s">
        <v>45</v>
      </c>
      <c r="G46" s="23" t="s">
        <v>48</v>
      </c>
      <c r="H46" s="24" t="s">
        <v>23</v>
      </c>
      <c r="I46" s="19"/>
      <c r="J46" s="20"/>
    </row>
    <row r="47" ht="15.75" customHeight="1">
      <c r="A47" s="19" t="s">
        <v>13</v>
      </c>
      <c r="B47" s="19" t="s">
        <v>165</v>
      </c>
      <c r="C47" s="19" t="s">
        <v>219</v>
      </c>
      <c r="D47" s="19" t="s">
        <v>201</v>
      </c>
      <c r="E47" s="20" t="s">
        <v>220</v>
      </c>
      <c r="F47" s="22" t="s">
        <v>45</v>
      </c>
      <c r="G47" s="23" t="s">
        <v>48</v>
      </c>
      <c r="H47" s="24" t="s">
        <v>23</v>
      </c>
      <c r="I47" s="19"/>
      <c r="J47" s="20"/>
    </row>
    <row r="48" ht="15.75" customHeight="1">
      <c r="A48" s="19" t="s">
        <v>13</v>
      </c>
      <c r="B48" s="19" t="s">
        <v>167</v>
      </c>
      <c r="C48" s="19" t="s">
        <v>222</v>
      </c>
      <c r="D48" s="19" t="s">
        <v>201</v>
      </c>
      <c r="E48" s="20" t="s">
        <v>223</v>
      </c>
      <c r="F48" s="22" t="s">
        <v>45</v>
      </c>
      <c r="G48" s="23" t="s">
        <v>48</v>
      </c>
      <c r="H48" s="24" t="s">
        <v>23</v>
      </c>
      <c r="I48" s="19"/>
      <c r="J48" s="20"/>
    </row>
    <row r="49" ht="15.75" customHeight="1">
      <c r="A49" s="19" t="s">
        <v>13</v>
      </c>
      <c r="B49" s="19" t="s">
        <v>170</v>
      </c>
      <c r="C49" s="19" t="s">
        <v>226</v>
      </c>
      <c r="D49" s="19" t="s">
        <v>201</v>
      </c>
      <c r="E49" s="20" t="s">
        <v>227</v>
      </c>
      <c r="F49" s="22" t="s">
        <v>45</v>
      </c>
      <c r="G49" s="23" t="s">
        <v>48</v>
      </c>
      <c r="H49" s="24" t="s">
        <v>23</v>
      </c>
      <c r="I49" s="19"/>
      <c r="J49" s="20"/>
    </row>
    <row r="50" ht="15.75" customHeight="1">
      <c r="A50" s="19" t="s">
        <v>13</v>
      </c>
      <c r="B50" s="19" t="s">
        <v>172</v>
      </c>
      <c r="C50" s="19" t="s">
        <v>230</v>
      </c>
      <c r="D50" s="19" t="s">
        <v>201</v>
      </c>
      <c r="E50" s="20" t="s">
        <v>231</v>
      </c>
      <c r="F50" s="22" t="s">
        <v>45</v>
      </c>
      <c r="G50" s="23" t="s">
        <v>48</v>
      </c>
      <c r="H50" s="24" t="s">
        <v>23</v>
      </c>
      <c r="I50" s="19"/>
      <c r="J50" s="20"/>
    </row>
    <row r="51" ht="15.75" customHeight="1">
      <c r="A51" s="19" t="s">
        <v>13</v>
      </c>
      <c r="B51" s="19" t="s">
        <v>174</v>
      </c>
      <c r="C51" s="19" t="s">
        <v>233</v>
      </c>
      <c r="D51" s="19" t="s">
        <v>201</v>
      </c>
      <c r="E51" s="20" t="s">
        <v>235</v>
      </c>
      <c r="F51" s="22" t="s">
        <v>45</v>
      </c>
      <c r="G51" s="23" t="s">
        <v>48</v>
      </c>
      <c r="H51" s="24" t="s">
        <v>23</v>
      </c>
      <c r="I51" s="19"/>
      <c r="J51" s="20"/>
    </row>
    <row r="52" ht="15.75" customHeight="1">
      <c r="A52" s="19" t="s">
        <v>13</v>
      </c>
      <c r="B52" s="19" t="s">
        <v>176</v>
      </c>
      <c r="C52" s="19" t="s">
        <v>237</v>
      </c>
      <c r="D52" s="19" t="s">
        <v>201</v>
      </c>
      <c r="E52" s="20" t="s">
        <v>238</v>
      </c>
      <c r="F52" s="22" t="s">
        <v>45</v>
      </c>
      <c r="G52" s="23" t="s">
        <v>48</v>
      </c>
      <c r="H52" s="24" t="s">
        <v>23</v>
      </c>
      <c r="I52" s="19"/>
      <c r="J52" s="20"/>
    </row>
    <row r="53" ht="15.75" customHeight="1">
      <c r="A53" s="19" t="s">
        <v>13</v>
      </c>
      <c r="B53" s="19" t="s">
        <v>178</v>
      </c>
      <c r="C53" s="19" t="s">
        <v>240</v>
      </c>
      <c r="D53" s="19" t="s">
        <v>201</v>
      </c>
      <c r="E53" s="20" t="s">
        <v>241</v>
      </c>
      <c r="F53" s="22" t="s">
        <v>45</v>
      </c>
      <c r="G53" s="23" t="s">
        <v>48</v>
      </c>
      <c r="H53" s="24" t="s">
        <v>23</v>
      </c>
      <c r="I53" s="19"/>
      <c r="J53" s="20"/>
    </row>
    <row r="54" ht="15.75" customHeight="1">
      <c r="A54" s="19" t="s">
        <v>13</v>
      </c>
      <c r="B54" s="19" t="s">
        <v>180</v>
      </c>
      <c r="C54" s="19" t="s">
        <v>243</v>
      </c>
      <c r="D54" s="19" t="s">
        <v>201</v>
      </c>
      <c r="E54" s="20" t="s">
        <v>245</v>
      </c>
      <c r="F54" s="22" t="s">
        <v>45</v>
      </c>
      <c r="G54" s="23" t="s">
        <v>48</v>
      </c>
      <c r="H54" s="24" t="s">
        <v>23</v>
      </c>
      <c r="I54" s="19"/>
      <c r="J54" s="20"/>
    </row>
    <row r="55" ht="15.75" customHeight="1">
      <c r="A55" s="19" t="s">
        <v>13</v>
      </c>
      <c r="B55" s="19" t="s">
        <v>182</v>
      </c>
      <c r="C55" s="19" t="s">
        <v>247</v>
      </c>
      <c r="D55" s="19" t="s">
        <v>201</v>
      </c>
      <c r="E55" s="20" t="s">
        <v>248</v>
      </c>
      <c r="F55" s="22" t="s">
        <v>45</v>
      </c>
      <c r="G55" s="23" t="s">
        <v>48</v>
      </c>
      <c r="H55" s="24" t="s">
        <v>23</v>
      </c>
      <c r="I55" s="19"/>
      <c r="J55" s="20"/>
    </row>
    <row r="56" ht="15.75" customHeight="1">
      <c r="A56" s="19" t="s">
        <v>13</v>
      </c>
      <c r="B56" s="19" t="s">
        <v>186</v>
      </c>
      <c r="C56" s="19" t="s">
        <v>250</v>
      </c>
      <c r="D56" s="19" t="s">
        <v>201</v>
      </c>
      <c r="E56" s="20" t="s">
        <v>252</v>
      </c>
      <c r="F56" s="22" t="s">
        <v>45</v>
      </c>
      <c r="G56" s="23" t="s">
        <v>48</v>
      </c>
      <c r="H56" s="24" t="s">
        <v>23</v>
      </c>
      <c r="I56" s="19"/>
      <c r="J56" s="20"/>
    </row>
    <row r="57" ht="15.75" customHeight="1">
      <c r="A57" s="19" t="s">
        <v>13</v>
      </c>
      <c r="B57" s="19" t="s">
        <v>187</v>
      </c>
      <c r="C57" s="19" t="s">
        <v>254</v>
      </c>
      <c r="D57" s="19" t="s">
        <v>201</v>
      </c>
      <c r="E57" s="20" t="s">
        <v>255</v>
      </c>
      <c r="F57" s="22" t="s">
        <v>45</v>
      </c>
      <c r="G57" s="23" t="s">
        <v>48</v>
      </c>
      <c r="H57" s="24" t="s">
        <v>23</v>
      </c>
      <c r="I57" s="19"/>
      <c r="J57" s="20"/>
    </row>
    <row r="58" ht="15.75" customHeight="1">
      <c r="A58" s="19" t="s">
        <v>13</v>
      </c>
      <c r="B58" s="19" t="s">
        <v>188</v>
      </c>
      <c r="C58" s="19" t="s">
        <v>257</v>
      </c>
      <c r="D58" s="19" t="s">
        <v>201</v>
      </c>
      <c r="E58" s="20" t="s">
        <v>259</v>
      </c>
      <c r="F58" s="22" t="s">
        <v>45</v>
      </c>
      <c r="G58" s="23" t="s">
        <v>48</v>
      </c>
      <c r="H58" s="24" t="s">
        <v>23</v>
      </c>
      <c r="I58" s="19"/>
      <c r="J58" s="20"/>
    </row>
    <row r="59" ht="15.75" customHeight="1">
      <c r="A59" s="19" t="s">
        <v>13</v>
      </c>
      <c r="B59" s="19" t="s">
        <v>189</v>
      </c>
      <c r="C59" s="19" t="s">
        <v>261</v>
      </c>
      <c r="D59" s="19" t="s">
        <v>201</v>
      </c>
      <c r="E59" s="20" t="s">
        <v>262</v>
      </c>
      <c r="F59" s="22" t="s">
        <v>45</v>
      </c>
      <c r="G59" s="23" t="s">
        <v>48</v>
      </c>
      <c r="H59" s="24" t="s">
        <v>23</v>
      </c>
      <c r="I59" s="19"/>
      <c r="J59" s="20"/>
    </row>
    <row r="60" ht="15.75" customHeight="1">
      <c r="A60" s="19" t="s">
        <v>13</v>
      </c>
      <c r="B60" s="19" t="s">
        <v>191</v>
      </c>
      <c r="C60" s="19" t="s">
        <v>264</v>
      </c>
      <c r="D60" s="19" t="s">
        <v>201</v>
      </c>
      <c r="E60" s="20" t="s">
        <v>265</v>
      </c>
      <c r="F60" s="22" t="s">
        <v>45</v>
      </c>
      <c r="G60" s="23" t="s">
        <v>48</v>
      </c>
      <c r="H60" s="24" t="s">
        <v>23</v>
      </c>
      <c r="I60" s="19"/>
      <c r="J60" s="20"/>
    </row>
    <row r="61" ht="15.75" customHeight="1">
      <c r="A61" s="19" t="s">
        <v>13</v>
      </c>
      <c r="B61" s="19" t="s">
        <v>194</v>
      </c>
      <c r="C61" s="19" t="s">
        <v>267</v>
      </c>
      <c r="D61" s="19" t="s">
        <v>201</v>
      </c>
      <c r="E61" s="20" t="s">
        <v>269</v>
      </c>
      <c r="F61" s="22" t="s">
        <v>45</v>
      </c>
      <c r="G61" s="23" t="s">
        <v>48</v>
      </c>
      <c r="H61" s="24" t="s">
        <v>23</v>
      </c>
      <c r="I61" s="19"/>
      <c r="J61" s="20"/>
    </row>
    <row r="62" ht="15.75" customHeight="1">
      <c r="A62" s="19" t="s">
        <v>13</v>
      </c>
      <c r="B62" s="19" t="s">
        <v>197</v>
      </c>
      <c r="C62" s="19" t="s">
        <v>271</v>
      </c>
      <c r="D62" s="19" t="s">
        <v>201</v>
      </c>
      <c r="E62" s="20" t="s">
        <v>273</v>
      </c>
      <c r="F62" s="22" t="s">
        <v>45</v>
      </c>
      <c r="G62" s="23" t="s">
        <v>48</v>
      </c>
      <c r="H62" s="24" t="s">
        <v>23</v>
      </c>
      <c r="I62" s="19"/>
      <c r="J62" s="20"/>
    </row>
    <row r="63" ht="15.75" customHeight="1">
      <c r="A63" s="19" t="s">
        <v>13</v>
      </c>
      <c r="B63" s="19" t="s">
        <v>199</v>
      </c>
      <c r="C63" s="19" t="s">
        <v>276</v>
      </c>
      <c r="D63" s="19" t="s">
        <v>201</v>
      </c>
      <c r="E63" s="20" t="s">
        <v>277</v>
      </c>
      <c r="F63" s="22" t="s">
        <v>45</v>
      </c>
      <c r="G63" s="23" t="s">
        <v>48</v>
      </c>
      <c r="H63" s="24" t="s">
        <v>23</v>
      </c>
      <c r="I63" s="19"/>
      <c r="J63" s="20"/>
    </row>
    <row r="64" ht="15.75" customHeight="1">
      <c r="A64" s="19" t="s">
        <v>13</v>
      </c>
      <c r="B64" s="19" t="s">
        <v>203</v>
      </c>
      <c r="C64" s="19" t="s">
        <v>280</v>
      </c>
      <c r="D64" s="19" t="s">
        <v>201</v>
      </c>
      <c r="E64" s="20" t="s">
        <v>281</v>
      </c>
      <c r="F64" s="22" t="s">
        <v>45</v>
      </c>
      <c r="G64" s="23" t="s">
        <v>48</v>
      </c>
      <c r="H64" s="24" t="s">
        <v>23</v>
      </c>
      <c r="I64" s="19"/>
      <c r="J64" s="20"/>
    </row>
    <row r="65" ht="15.75" customHeight="1">
      <c r="A65" s="19" t="s">
        <v>13</v>
      </c>
      <c r="B65" s="19" t="s">
        <v>204</v>
      </c>
      <c r="C65" s="19" t="s">
        <v>284</v>
      </c>
      <c r="D65" s="19" t="s">
        <v>201</v>
      </c>
      <c r="E65" s="20" t="s">
        <v>285</v>
      </c>
      <c r="F65" s="22" t="s">
        <v>45</v>
      </c>
      <c r="G65" s="23" t="s">
        <v>48</v>
      </c>
      <c r="H65" s="24" t="s">
        <v>23</v>
      </c>
      <c r="I65" s="19"/>
      <c r="J65" s="20"/>
    </row>
    <row r="66" ht="15.75" customHeight="1">
      <c r="A66" s="19" t="s">
        <v>13</v>
      </c>
      <c r="B66" s="19" t="s">
        <v>207</v>
      </c>
      <c r="C66" s="19" t="s">
        <v>288</v>
      </c>
      <c r="D66" s="19" t="s">
        <v>201</v>
      </c>
      <c r="E66" s="20" t="s">
        <v>289</v>
      </c>
      <c r="F66" s="37" t="s">
        <v>291</v>
      </c>
      <c r="G66" s="23" t="s">
        <v>294</v>
      </c>
      <c r="H66" s="24" t="s">
        <v>23</v>
      </c>
      <c r="I66" s="19"/>
      <c r="J66" s="20"/>
    </row>
    <row r="67" ht="15.75" customHeight="1">
      <c r="A67" s="19" t="s">
        <v>13</v>
      </c>
      <c r="B67" s="19" t="s">
        <v>210</v>
      </c>
      <c r="C67" s="19" t="s">
        <v>295</v>
      </c>
      <c r="D67" s="19" t="s">
        <v>201</v>
      </c>
      <c r="E67" s="20" t="s">
        <v>296</v>
      </c>
      <c r="F67" s="37" t="s">
        <v>291</v>
      </c>
      <c r="G67" s="23" t="s">
        <v>294</v>
      </c>
      <c r="H67" s="24" t="s">
        <v>23</v>
      </c>
      <c r="I67" s="19"/>
      <c r="J67" s="20"/>
    </row>
    <row r="68" ht="15.75" customHeight="1">
      <c r="A68" s="19" t="s">
        <v>13</v>
      </c>
      <c r="B68" s="19" t="s">
        <v>212</v>
      </c>
      <c r="C68" s="19" t="s">
        <v>299</v>
      </c>
      <c r="D68" s="19" t="s">
        <v>201</v>
      </c>
      <c r="E68" s="20" t="s">
        <v>300</v>
      </c>
      <c r="F68" s="37" t="s">
        <v>291</v>
      </c>
      <c r="G68" s="23" t="s">
        <v>301</v>
      </c>
      <c r="H68" s="24" t="s">
        <v>23</v>
      </c>
      <c r="I68" s="19"/>
      <c r="J68" s="20"/>
    </row>
    <row r="69" ht="15.75" customHeight="1">
      <c r="A69" s="19" t="s">
        <v>13</v>
      </c>
      <c r="B69" s="19" t="s">
        <v>214</v>
      </c>
      <c r="C69" s="19" t="s">
        <v>304</v>
      </c>
      <c r="D69" s="19" t="s">
        <v>201</v>
      </c>
      <c r="E69" s="20" t="s">
        <v>306</v>
      </c>
      <c r="F69" s="37" t="s">
        <v>291</v>
      </c>
      <c r="G69" s="23" t="s">
        <v>294</v>
      </c>
      <c r="H69" s="24" t="s">
        <v>23</v>
      </c>
      <c r="I69" s="19"/>
      <c r="J69" s="20"/>
    </row>
    <row r="70" ht="15.75" customHeight="1">
      <c r="A70" s="19" t="s">
        <v>13</v>
      </c>
      <c r="B70" s="19" t="s">
        <v>217</v>
      </c>
      <c r="C70" s="19" t="s">
        <v>309</v>
      </c>
      <c r="D70" s="19" t="s">
        <v>201</v>
      </c>
      <c r="E70" s="20" t="s">
        <v>310</v>
      </c>
      <c r="F70" s="37" t="s">
        <v>291</v>
      </c>
      <c r="G70" s="23" t="s">
        <v>294</v>
      </c>
      <c r="H70" s="24" t="s">
        <v>23</v>
      </c>
      <c r="I70" s="19"/>
      <c r="J70" s="20"/>
    </row>
    <row r="71" ht="15.75" customHeight="1">
      <c r="A71" s="19" t="s">
        <v>13</v>
      </c>
      <c r="B71" s="19" t="s">
        <v>218</v>
      </c>
      <c r="C71" s="19" t="s">
        <v>313</v>
      </c>
      <c r="D71" s="19" t="s">
        <v>201</v>
      </c>
      <c r="E71" s="20" t="s">
        <v>314</v>
      </c>
      <c r="F71" s="37" t="s">
        <v>291</v>
      </c>
      <c r="G71" s="23" t="s">
        <v>294</v>
      </c>
      <c r="H71" s="24" t="s">
        <v>23</v>
      </c>
      <c r="I71" s="19"/>
      <c r="J71" s="20"/>
    </row>
    <row r="72" ht="15.75" customHeight="1">
      <c r="A72" s="19" t="s">
        <v>13</v>
      </c>
      <c r="B72" s="19" t="s">
        <v>221</v>
      </c>
      <c r="C72" s="19" t="s">
        <v>316</v>
      </c>
      <c r="D72" s="19" t="s">
        <v>201</v>
      </c>
      <c r="E72" s="20" t="s">
        <v>317</v>
      </c>
      <c r="F72" s="22" t="s">
        <v>45</v>
      </c>
      <c r="G72" s="23" t="s">
        <v>48</v>
      </c>
      <c r="H72" s="24" t="s">
        <v>23</v>
      </c>
      <c r="I72" s="19"/>
      <c r="J72" s="20"/>
    </row>
    <row r="73" ht="15.75" customHeight="1">
      <c r="A73" s="19" t="s">
        <v>13</v>
      </c>
      <c r="B73" s="19" t="s">
        <v>224</v>
      </c>
      <c r="C73" s="19" t="s">
        <v>318</v>
      </c>
      <c r="D73" s="19" t="s">
        <v>201</v>
      </c>
      <c r="E73" s="20" t="s">
        <v>319</v>
      </c>
      <c r="F73" s="22" t="s">
        <v>45</v>
      </c>
      <c r="G73" s="23" t="s">
        <v>48</v>
      </c>
      <c r="H73" s="24" t="s">
        <v>23</v>
      </c>
      <c r="I73" s="19"/>
      <c r="J73" s="20"/>
    </row>
    <row r="74" ht="15.75" customHeight="1">
      <c r="A74" s="19" t="s">
        <v>13</v>
      </c>
      <c r="B74" s="19" t="s">
        <v>225</v>
      </c>
      <c r="C74" s="19" t="s">
        <v>322</v>
      </c>
      <c r="D74" s="19" t="s">
        <v>201</v>
      </c>
      <c r="E74" s="20" t="s">
        <v>323</v>
      </c>
      <c r="F74" s="37" t="s">
        <v>291</v>
      </c>
      <c r="G74" s="23" t="s">
        <v>301</v>
      </c>
      <c r="H74" s="24" t="s">
        <v>23</v>
      </c>
      <c r="I74" s="19"/>
      <c r="J74" s="20"/>
    </row>
    <row r="75" ht="15.75" customHeight="1">
      <c r="A75" s="19" t="s">
        <v>13</v>
      </c>
      <c r="B75" s="19" t="s">
        <v>228</v>
      </c>
      <c r="C75" s="19" t="s">
        <v>326</v>
      </c>
      <c r="D75" s="19" t="s">
        <v>201</v>
      </c>
      <c r="E75" s="20" t="s">
        <v>327</v>
      </c>
      <c r="F75" s="37" t="s">
        <v>291</v>
      </c>
      <c r="G75" s="23" t="s">
        <v>301</v>
      </c>
      <c r="H75" s="24" t="s">
        <v>23</v>
      </c>
      <c r="I75" s="19"/>
      <c r="J75" s="20"/>
    </row>
    <row r="76" ht="15.75" customHeight="1">
      <c r="A76" s="19" t="s">
        <v>13</v>
      </c>
      <c r="B76" s="19" t="s">
        <v>229</v>
      </c>
      <c r="C76" s="19" t="s">
        <v>330</v>
      </c>
      <c r="D76" s="19" t="s">
        <v>201</v>
      </c>
      <c r="E76" s="20" t="s">
        <v>332</v>
      </c>
      <c r="F76" s="22" t="s">
        <v>45</v>
      </c>
      <c r="G76" s="23" t="s">
        <v>48</v>
      </c>
      <c r="H76" s="24" t="s">
        <v>23</v>
      </c>
      <c r="I76" s="19"/>
      <c r="J76" s="20"/>
    </row>
    <row r="77" ht="15.75" customHeight="1">
      <c r="A77" s="19" t="s">
        <v>13</v>
      </c>
      <c r="B77" s="19" t="s">
        <v>232</v>
      </c>
      <c r="C77" s="19" t="s">
        <v>334</v>
      </c>
      <c r="D77" s="19" t="s">
        <v>201</v>
      </c>
      <c r="E77" s="20" t="s">
        <v>335</v>
      </c>
      <c r="F77" s="22" t="s">
        <v>45</v>
      </c>
      <c r="G77" s="23" t="s">
        <v>48</v>
      </c>
      <c r="H77" s="24" t="s">
        <v>23</v>
      </c>
      <c r="I77" s="19"/>
      <c r="J77" s="20"/>
    </row>
    <row r="78" ht="15.75" customHeight="1">
      <c r="A78" s="19" t="s">
        <v>13</v>
      </c>
      <c r="B78" s="19" t="s">
        <v>234</v>
      </c>
      <c r="C78" s="19" t="s">
        <v>338</v>
      </c>
      <c r="D78" s="19" t="s">
        <v>201</v>
      </c>
      <c r="E78" s="20" t="s">
        <v>339</v>
      </c>
      <c r="F78" s="22" t="s">
        <v>45</v>
      </c>
      <c r="G78" s="23" t="s">
        <v>48</v>
      </c>
      <c r="H78" s="24" t="s">
        <v>23</v>
      </c>
      <c r="I78" s="19"/>
      <c r="J78" s="20"/>
    </row>
    <row r="79" ht="15.75" customHeight="1">
      <c r="A79" s="19" t="s">
        <v>13</v>
      </c>
      <c r="B79" s="19" t="s">
        <v>236</v>
      </c>
      <c r="C79" s="19" t="s">
        <v>342</v>
      </c>
      <c r="D79" s="19" t="s">
        <v>201</v>
      </c>
      <c r="E79" s="20" t="s">
        <v>343</v>
      </c>
      <c r="F79" s="22" t="s">
        <v>45</v>
      </c>
      <c r="G79" s="23" t="s">
        <v>48</v>
      </c>
      <c r="H79" s="24" t="s">
        <v>23</v>
      </c>
      <c r="I79" s="19"/>
      <c r="J79" s="20"/>
    </row>
    <row r="80" ht="15.75" customHeight="1">
      <c r="A80" s="19" t="s">
        <v>13</v>
      </c>
      <c r="B80" s="19" t="s">
        <v>239</v>
      </c>
      <c r="C80" s="19" t="s">
        <v>347</v>
      </c>
      <c r="D80" s="19" t="s">
        <v>201</v>
      </c>
      <c r="E80" s="20" t="s">
        <v>348</v>
      </c>
      <c r="F80" s="22" t="s">
        <v>45</v>
      </c>
      <c r="G80" s="23" t="s">
        <v>48</v>
      </c>
      <c r="H80" s="24" t="s">
        <v>23</v>
      </c>
      <c r="I80" s="19"/>
      <c r="J80" s="20"/>
    </row>
    <row r="81" ht="15.75" customHeight="1">
      <c r="A81" s="19" t="s">
        <v>13</v>
      </c>
      <c r="B81" s="19" t="s">
        <v>242</v>
      </c>
      <c r="C81" s="19" t="s">
        <v>351</v>
      </c>
      <c r="D81" s="19" t="s">
        <v>201</v>
      </c>
      <c r="E81" s="20" t="s">
        <v>353</v>
      </c>
      <c r="F81" s="22" t="s">
        <v>45</v>
      </c>
      <c r="G81" s="23" t="s">
        <v>48</v>
      </c>
      <c r="H81" s="24" t="s">
        <v>23</v>
      </c>
      <c r="I81" s="19"/>
      <c r="J81" s="20"/>
    </row>
    <row r="82" ht="15.75" customHeight="1">
      <c r="A82" s="19" t="s">
        <v>13</v>
      </c>
      <c r="B82" s="19" t="s">
        <v>244</v>
      </c>
      <c r="C82" s="19" t="s">
        <v>355</v>
      </c>
      <c r="D82" s="19" t="s">
        <v>201</v>
      </c>
      <c r="E82" s="20" t="s">
        <v>357</v>
      </c>
      <c r="F82" s="22" t="s">
        <v>45</v>
      </c>
      <c r="G82" s="23" t="s">
        <v>48</v>
      </c>
      <c r="H82" s="24" t="s">
        <v>23</v>
      </c>
      <c r="I82" s="19"/>
      <c r="J82" s="20"/>
    </row>
    <row r="83" ht="15.75" customHeight="1">
      <c r="A83" s="19" t="s">
        <v>13</v>
      </c>
      <c r="B83" s="19" t="s">
        <v>246</v>
      </c>
      <c r="C83" s="19" t="s">
        <v>361</v>
      </c>
      <c r="D83" s="19" t="s">
        <v>201</v>
      </c>
      <c r="E83" s="20" t="s">
        <v>362</v>
      </c>
      <c r="F83" s="22" t="s">
        <v>45</v>
      </c>
      <c r="G83" s="23" t="s">
        <v>48</v>
      </c>
      <c r="H83" s="24" t="s">
        <v>23</v>
      </c>
      <c r="I83" s="19"/>
      <c r="J83" s="20"/>
    </row>
    <row r="84" ht="15.75" customHeight="1">
      <c r="A84" s="19" t="s">
        <v>13</v>
      </c>
      <c r="B84" s="19" t="s">
        <v>249</v>
      </c>
      <c r="C84" s="19" t="s">
        <v>365</v>
      </c>
      <c r="D84" s="19" t="s">
        <v>201</v>
      </c>
      <c r="E84" s="20" t="s">
        <v>366</v>
      </c>
      <c r="F84" s="30" t="s">
        <v>88</v>
      </c>
      <c r="G84" s="23" t="s">
        <v>368</v>
      </c>
      <c r="H84" s="24" t="s">
        <v>23</v>
      </c>
      <c r="I84" s="19"/>
      <c r="J84" s="20"/>
    </row>
    <row r="85" ht="15.75" customHeight="1">
      <c r="A85" s="19" t="s">
        <v>13</v>
      </c>
      <c r="B85" s="19" t="s">
        <v>251</v>
      </c>
      <c r="C85" s="19" t="s">
        <v>370</v>
      </c>
      <c r="D85" s="19" t="s">
        <v>201</v>
      </c>
      <c r="E85" s="20" t="s">
        <v>373</v>
      </c>
      <c r="F85" s="30" t="s">
        <v>88</v>
      </c>
      <c r="G85" s="23" t="s">
        <v>368</v>
      </c>
      <c r="H85" s="24" t="s">
        <v>23</v>
      </c>
      <c r="I85" s="19"/>
      <c r="J85" s="20"/>
    </row>
    <row r="86" ht="15.75" customHeight="1">
      <c r="A86" s="19" t="s">
        <v>13</v>
      </c>
      <c r="B86" s="19" t="s">
        <v>253</v>
      </c>
      <c r="C86" s="19" t="s">
        <v>376</v>
      </c>
      <c r="D86" s="19" t="s">
        <v>201</v>
      </c>
      <c r="E86" s="20" t="s">
        <v>378</v>
      </c>
      <c r="F86" s="30" t="s">
        <v>88</v>
      </c>
      <c r="G86" s="23" t="s">
        <v>368</v>
      </c>
      <c r="H86" s="24" t="s">
        <v>23</v>
      </c>
      <c r="I86" s="19"/>
      <c r="J86" s="20"/>
    </row>
    <row r="87" ht="15.75" customHeight="1">
      <c r="A87" s="19" t="s">
        <v>13</v>
      </c>
      <c r="B87" s="19" t="s">
        <v>256</v>
      </c>
      <c r="C87" s="19" t="s">
        <v>381</v>
      </c>
      <c r="D87" s="19" t="s">
        <v>201</v>
      </c>
      <c r="E87" s="20" t="s">
        <v>382</v>
      </c>
      <c r="F87" s="22" t="s">
        <v>45</v>
      </c>
      <c r="G87" s="23" t="s">
        <v>48</v>
      </c>
      <c r="H87" s="24" t="s">
        <v>23</v>
      </c>
      <c r="I87" s="19"/>
      <c r="J87" s="20"/>
    </row>
    <row r="88" ht="15.75" customHeight="1">
      <c r="A88" s="19" t="s">
        <v>13</v>
      </c>
      <c r="B88" s="19" t="s">
        <v>385</v>
      </c>
      <c r="C88" s="19" t="s">
        <v>386</v>
      </c>
      <c r="D88" s="19" t="s">
        <v>201</v>
      </c>
      <c r="E88" s="20" t="s">
        <v>387</v>
      </c>
      <c r="F88" s="37" t="s">
        <v>291</v>
      </c>
      <c r="G88" s="23" t="s">
        <v>301</v>
      </c>
      <c r="H88" s="24" t="s">
        <v>23</v>
      </c>
      <c r="I88" s="19"/>
      <c r="J88" s="20"/>
    </row>
    <row r="89" ht="15.75" customHeight="1">
      <c r="A89" s="19" t="s">
        <v>13</v>
      </c>
      <c r="B89" s="19" t="s">
        <v>391</v>
      </c>
      <c r="C89" s="19" t="s">
        <v>392</v>
      </c>
      <c r="D89" s="19" t="s">
        <v>201</v>
      </c>
      <c r="E89" s="20" t="s">
        <v>394</v>
      </c>
      <c r="F89" s="30" t="s">
        <v>88</v>
      </c>
      <c r="G89" s="23" t="s">
        <v>368</v>
      </c>
      <c r="H89" s="24" t="s">
        <v>23</v>
      </c>
      <c r="I89" s="19"/>
      <c r="J89" s="20"/>
    </row>
    <row r="90" ht="15.75" customHeight="1">
      <c r="A90" s="19" t="s">
        <v>13</v>
      </c>
      <c r="B90" s="19" t="s">
        <v>397</v>
      </c>
      <c r="C90" s="19" t="s">
        <v>398</v>
      </c>
      <c r="D90" s="19" t="s">
        <v>201</v>
      </c>
      <c r="E90" s="20" t="s">
        <v>401</v>
      </c>
      <c r="F90" s="22" t="s">
        <v>45</v>
      </c>
      <c r="G90" s="23" t="s">
        <v>48</v>
      </c>
      <c r="H90" s="24" t="s">
        <v>23</v>
      </c>
      <c r="I90" s="19"/>
      <c r="J90" s="20"/>
    </row>
    <row r="91" ht="15.75" customHeight="1">
      <c r="A91" s="19" t="s">
        <v>13</v>
      </c>
      <c r="B91" s="19" t="s">
        <v>403</v>
      </c>
      <c r="C91" s="19" t="s">
        <v>404</v>
      </c>
      <c r="D91" s="19" t="s">
        <v>201</v>
      </c>
      <c r="E91" s="20" t="s">
        <v>406</v>
      </c>
      <c r="F91" s="30" t="s">
        <v>88</v>
      </c>
      <c r="G91" s="23" t="s">
        <v>407</v>
      </c>
      <c r="H91" s="24" t="s">
        <v>23</v>
      </c>
      <c r="I91" s="19"/>
      <c r="J91" s="20"/>
    </row>
    <row r="92" ht="15.75" customHeight="1">
      <c r="A92" s="11" t="s">
        <v>13</v>
      </c>
      <c r="B92" s="11" t="s">
        <v>258</v>
      </c>
      <c r="C92" s="11" t="s">
        <v>411</v>
      </c>
      <c r="D92" s="11" t="s">
        <v>412</v>
      </c>
      <c r="E92" s="14" t="s">
        <v>413</v>
      </c>
      <c r="F92" s="30" t="s">
        <v>88</v>
      </c>
      <c r="G92" s="17" t="s">
        <v>415</v>
      </c>
      <c r="H92" s="24" t="s">
        <v>23</v>
      </c>
      <c r="I92" s="11"/>
      <c r="J92" s="14"/>
    </row>
    <row r="93" ht="15.75" customHeight="1">
      <c r="A93" s="11" t="s">
        <v>13</v>
      </c>
      <c r="B93" s="11" t="s">
        <v>260</v>
      </c>
      <c r="C93" s="11" t="s">
        <v>418</v>
      </c>
      <c r="D93" s="11" t="s">
        <v>412</v>
      </c>
      <c r="E93" s="14" t="s">
        <v>420</v>
      </c>
      <c r="F93" s="30" t="s">
        <v>88</v>
      </c>
      <c r="G93" s="17" t="s">
        <v>415</v>
      </c>
      <c r="H93" s="24" t="s">
        <v>23</v>
      </c>
      <c r="I93" s="11"/>
      <c r="J93" s="14"/>
    </row>
    <row r="94" ht="15.75" customHeight="1">
      <c r="A94" s="11" t="s">
        <v>13</v>
      </c>
      <c r="B94" s="11" t="s">
        <v>263</v>
      </c>
      <c r="C94" s="11" t="s">
        <v>422</v>
      </c>
      <c r="D94" s="11" t="s">
        <v>412</v>
      </c>
      <c r="E94" s="14" t="s">
        <v>424</v>
      </c>
      <c r="F94" s="30" t="s">
        <v>88</v>
      </c>
      <c r="G94" s="17" t="s">
        <v>415</v>
      </c>
      <c r="H94" s="24" t="s">
        <v>23</v>
      </c>
      <c r="I94" s="11"/>
      <c r="J94" s="14"/>
    </row>
    <row r="95" ht="15.75" customHeight="1">
      <c r="A95" s="11" t="s">
        <v>13</v>
      </c>
      <c r="B95" s="11" t="s">
        <v>266</v>
      </c>
      <c r="C95" s="11" t="s">
        <v>427</v>
      </c>
      <c r="D95" s="11" t="s">
        <v>412</v>
      </c>
      <c r="E95" s="14" t="s">
        <v>428</v>
      </c>
      <c r="F95" s="30" t="s">
        <v>88</v>
      </c>
      <c r="G95" s="17" t="s">
        <v>415</v>
      </c>
      <c r="H95" s="24" t="s">
        <v>23</v>
      </c>
      <c r="I95" s="11"/>
      <c r="J95" s="14"/>
    </row>
    <row r="96" ht="15.75" customHeight="1">
      <c r="A96" s="11" t="s">
        <v>13</v>
      </c>
      <c r="B96" s="11" t="s">
        <v>268</v>
      </c>
      <c r="C96" s="11" t="s">
        <v>431</v>
      </c>
      <c r="D96" s="11" t="s">
        <v>412</v>
      </c>
      <c r="E96" s="14" t="s">
        <v>432</v>
      </c>
      <c r="F96" s="30" t="s">
        <v>88</v>
      </c>
      <c r="G96" s="17" t="s">
        <v>415</v>
      </c>
      <c r="H96" s="24" t="s">
        <v>23</v>
      </c>
      <c r="I96" s="11"/>
      <c r="J96" s="14"/>
    </row>
    <row r="97" ht="15.75" customHeight="1">
      <c r="A97" s="11" t="s">
        <v>13</v>
      </c>
      <c r="B97" s="11" t="s">
        <v>270</v>
      </c>
      <c r="C97" s="11" t="s">
        <v>435</v>
      </c>
      <c r="D97" s="11" t="s">
        <v>412</v>
      </c>
      <c r="E97" s="14" t="s">
        <v>436</v>
      </c>
      <c r="F97" s="30" t="s">
        <v>88</v>
      </c>
      <c r="G97" s="17" t="s">
        <v>415</v>
      </c>
      <c r="H97" s="24" t="s">
        <v>23</v>
      </c>
      <c r="I97" s="11"/>
      <c r="J97" s="14"/>
    </row>
    <row r="98" ht="15.75" customHeight="1">
      <c r="A98" s="11" t="s">
        <v>13</v>
      </c>
      <c r="B98" s="11" t="s">
        <v>272</v>
      </c>
      <c r="C98" s="11" t="s">
        <v>439</v>
      </c>
      <c r="D98" s="11" t="s">
        <v>412</v>
      </c>
      <c r="E98" s="14" t="s">
        <v>441</v>
      </c>
      <c r="F98" s="30" t="s">
        <v>88</v>
      </c>
      <c r="G98" s="17" t="s">
        <v>415</v>
      </c>
      <c r="H98" s="24" t="s">
        <v>23</v>
      </c>
      <c r="I98" s="11"/>
      <c r="J98" s="14"/>
    </row>
    <row r="99" ht="15.75" customHeight="1">
      <c r="A99" s="11" t="s">
        <v>13</v>
      </c>
      <c r="B99" s="11" t="s">
        <v>445</v>
      </c>
      <c r="C99" s="11" t="s">
        <v>446</v>
      </c>
      <c r="D99" s="11" t="s">
        <v>412</v>
      </c>
      <c r="E99" s="14" t="s">
        <v>449</v>
      </c>
      <c r="F99" s="37" t="s">
        <v>291</v>
      </c>
      <c r="G99" s="17" t="s">
        <v>450</v>
      </c>
      <c r="H99" s="24" t="s">
        <v>23</v>
      </c>
      <c r="I99" s="11"/>
      <c r="J99" s="14"/>
    </row>
    <row r="100" ht="15.75" customHeight="1">
      <c r="A100" s="11" t="s">
        <v>13</v>
      </c>
      <c r="B100" s="11" t="s">
        <v>452</v>
      </c>
      <c r="C100" s="11" t="s">
        <v>453</v>
      </c>
      <c r="D100" s="11" t="s">
        <v>412</v>
      </c>
      <c r="E100" s="14" t="s">
        <v>455</v>
      </c>
      <c r="F100" s="37" t="s">
        <v>291</v>
      </c>
      <c r="G100" s="17" t="s">
        <v>450</v>
      </c>
      <c r="H100" s="24" t="s">
        <v>23</v>
      </c>
      <c r="I100" s="11"/>
      <c r="J100" s="14"/>
    </row>
    <row r="101" ht="15.75" customHeight="1">
      <c r="A101" s="11" t="s">
        <v>13</v>
      </c>
      <c r="B101" s="11" t="s">
        <v>458</v>
      </c>
      <c r="C101" s="11" t="s">
        <v>460</v>
      </c>
      <c r="D101" s="11" t="s">
        <v>412</v>
      </c>
      <c r="E101" s="14" t="s">
        <v>461</v>
      </c>
      <c r="F101" s="37" t="s">
        <v>291</v>
      </c>
      <c r="G101" s="17" t="s">
        <v>450</v>
      </c>
      <c r="H101" s="24" t="s">
        <v>23</v>
      </c>
      <c r="I101" s="11"/>
      <c r="J101" s="14"/>
    </row>
    <row r="102" ht="15.75" customHeight="1">
      <c r="A102" s="11" t="s">
        <v>13</v>
      </c>
      <c r="B102" s="11" t="s">
        <v>463</v>
      </c>
      <c r="C102" s="11" t="s">
        <v>464</v>
      </c>
      <c r="D102" s="11" t="s">
        <v>412</v>
      </c>
      <c r="E102" s="14" t="s">
        <v>467</v>
      </c>
      <c r="F102" s="30" t="s">
        <v>88</v>
      </c>
      <c r="G102" s="17" t="s">
        <v>415</v>
      </c>
      <c r="H102" s="24" t="s">
        <v>23</v>
      </c>
      <c r="I102" s="11"/>
      <c r="J102" s="14"/>
    </row>
    <row r="103" ht="15.75" customHeight="1">
      <c r="A103" s="11" t="s">
        <v>13</v>
      </c>
      <c r="B103" s="11" t="s">
        <v>469</v>
      </c>
      <c r="C103" s="11" t="s">
        <v>470</v>
      </c>
      <c r="D103" s="11" t="s">
        <v>412</v>
      </c>
      <c r="E103" s="14" t="s">
        <v>472</v>
      </c>
      <c r="F103" s="30" t="s">
        <v>88</v>
      </c>
      <c r="G103" s="17" t="s">
        <v>415</v>
      </c>
      <c r="H103" s="24" t="s">
        <v>23</v>
      </c>
      <c r="I103" s="11"/>
      <c r="J103" s="14"/>
    </row>
    <row r="104" ht="15.75" customHeight="1">
      <c r="A104" s="11" t="s">
        <v>13</v>
      </c>
      <c r="B104" s="11" t="s">
        <v>474</v>
      </c>
      <c r="C104" s="11" t="s">
        <v>476</v>
      </c>
      <c r="D104" s="11" t="s">
        <v>412</v>
      </c>
      <c r="E104" s="14" t="s">
        <v>477</v>
      </c>
      <c r="F104" s="30" t="s">
        <v>88</v>
      </c>
      <c r="G104" s="17" t="s">
        <v>415</v>
      </c>
      <c r="H104" s="24" t="s">
        <v>23</v>
      </c>
      <c r="I104" s="11"/>
      <c r="J104" s="14"/>
    </row>
    <row r="105" ht="15.75" customHeight="1">
      <c r="A105" s="11" t="s">
        <v>13</v>
      </c>
      <c r="B105" s="11" t="s">
        <v>478</v>
      </c>
      <c r="C105" s="11" t="s">
        <v>479</v>
      </c>
      <c r="D105" s="11" t="s">
        <v>412</v>
      </c>
      <c r="E105" s="14" t="s">
        <v>480</v>
      </c>
      <c r="F105" s="30" t="s">
        <v>88</v>
      </c>
      <c r="G105" s="17" t="s">
        <v>415</v>
      </c>
      <c r="H105" s="24" t="s">
        <v>23</v>
      </c>
      <c r="I105" s="11"/>
      <c r="J105" s="14"/>
    </row>
    <row r="106" ht="15.75" customHeight="1">
      <c r="A106" s="19" t="s">
        <v>13</v>
      </c>
      <c r="B106" s="19" t="s">
        <v>274</v>
      </c>
      <c r="C106" s="19" t="s">
        <v>482</v>
      </c>
      <c r="D106" s="19" t="s">
        <v>483</v>
      </c>
      <c r="E106" s="20" t="s">
        <v>485</v>
      </c>
      <c r="F106" s="22" t="s">
        <v>45</v>
      </c>
      <c r="G106" s="23" t="s">
        <v>48</v>
      </c>
      <c r="H106" s="24" t="s">
        <v>23</v>
      </c>
      <c r="I106" s="19"/>
      <c r="J106" s="20"/>
    </row>
    <row r="107" ht="15.75" customHeight="1">
      <c r="A107" s="19" t="s">
        <v>13</v>
      </c>
      <c r="B107" s="19" t="s">
        <v>275</v>
      </c>
      <c r="C107" s="19" t="s">
        <v>488</v>
      </c>
      <c r="D107" s="19" t="s">
        <v>483</v>
      </c>
      <c r="E107" s="20" t="s">
        <v>489</v>
      </c>
      <c r="F107" s="22" t="s">
        <v>45</v>
      </c>
      <c r="G107" s="23" t="s">
        <v>48</v>
      </c>
      <c r="H107" s="24" t="s">
        <v>23</v>
      </c>
      <c r="I107" s="19"/>
      <c r="J107" s="20"/>
    </row>
    <row r="108" ht="15.75" customHeight="1">
      <c r="A108" s="19" t="s">
        <v>13</v>
      </c>
      <c r="B108" s="19" t="s">
        <v>278</v>
      </c>
      <c r="C108" s="19" t="s">
        <v>493</v>
      </c>
      <c r="D108" s="19" t="s">
        <v>483</v>
      </c>
      <c r="E108" s="20" t="s">
        <v>494</v>
      </c>
      <c r="F108" s="30" t="s">
        <v>88</v>
      </c>
      <c r="G108" s="23" t="s">
        <v>495</v>
      </c>
      <c r="H108" s="24" t="s">
        <v>23</v>
      </c>
      <c r="I108" s="19"/>
      <c r="J108" s="20"/>
    </row>
    <row r="109" ht="15.75" customHeight="1">
      <c r="A109" s="19" t="s">
        <v>13</v>
      </c>
      <c r="B109" s="19" t="s">
        <v>279</v>
      </c>
      <c r="C109" s="19" t="s">
        <v>497</v>
      </c>
      <c r="D109" s="19" t="s">
        <v>483</v>
      </c>
      <c r="E109" s="20" t="s">
        <v>498</v>
      </c>
      <c r="F109" s="30" t="s">
        <v>88</v>
      </c>
      <c r="G109" s="23" t="s">
        <v>495</v>
      </c>
      <c r="H109" s="24" t="s">
        <v>23</v>
      </c>
      <c r="I109" s="19"/>
      <c r="J109" s="20"/>
    </row>
    <row r="110" ht="15.75" customHeight="1">
      <c r="A110" s="19" t="s">
        <v>13</v>
      </c>
      <c r="B110" s="19" t="s">
        <v>282</v>
      </c>
      <c r="C110" s="19" t="s">
        <v>501</v>
      </c>
      <c r="D110" s="19" t="s">
        <v>483</v>
      </c>
      <c r="E110" s="20" t="s">
        <v>502</v>
      </c>
      <c r="F110" s="37" t="s">
        <v>291</v>
      </c>
      <c r="G110" s="23" t="s">
        <v>503</v>
      </c>
      <c r="H110" s="24" t="s">
        <v>23</v>
      </c>
      <c r="I110" s="19"/>
      <c r="J110" s="20"/>
    </row>
    <row r="111" ht="15.75" customHeight="1">
      <c r="A111" s="19" t="s">
        <v>13</v>
      </c>
      <c r="B111" s="19" t="s">
        <v>283</v>
      </c>
      <c r="C111" s="19" t="s">
        <v>505</v>
      </c>
      <c r="D111" s="19" t="s">
        <v>483</v>
      </c>
      <c r="E111" s="20" t="s">
        <v>506</v>
      </c>
      <c r="F111" s="30" t="s">
        <v>88</v>
      </c>
      <c r="G111" s="23" t="s">
        <v>495</v>
      </c>
      <c r="H111" s="24" t="s">
        <v>23</v>
      </c>
      <c r="I111" s="19"/>
      <c r="J111" s="20"/>
    </row>
    <row r="112" ht="15.75" customHeight="1">
      <c r="A112" s="19" t="s">
        <v>13</v>
      </c>
      <c r="B112" s="19" t="s">
        <v>286</v>
      </c>
      <c r="C112" s="19" t="s">
        <v>508</v>
      </c>
      <c r="D112" s="19" t="s">
        <v>483</v>
      </c>
      <c r="E112" s="20" t="s">
        <v>510</v>
      </c>
      <c r="F112" s="37" t="s">
        <v>291</v>
      </c>
      <c r="G112" s="23" t="s">
        <v>512</v>
      </c>
      <c r="H112" s="24" t="s">
        <v>23</v>
      </c>
      <c r="I112" s="19"/>
      <c r="J112" s="20"/>
    </row>
    <row r="113" ht="15.75" customHeight="1">
      <c r="A113" s="19" t="s">
        <v>13</v>
      </c>
      <c r="B113" s="19" t="s">
        <v>507</v>
      </c>
      <c r="C113" s="19" t="s">
        <v>517</v>
      </c>
      <c r="D113" s="19" t="s">
        <v>483</v>
      </c>
      <c r="E113" s="20" t="s">
        <v>519</v>
      </c>
      <c r="F113" s="37" t="s">
        <v>291</v>
      </c>
      <c r="G113" s="23" t="s">
        <v>512</v>
      </c>
      <c r="H113" s="24" t="s">
        <v>23</v>
      </c>
      <c r="I113" s="19"/>
      <c r="J113" s="20"/>
    </row>
    <row r="114" ht="15.75" customHeight="1">
      <c r="A114" s="19" t="s">
        <v>13</v>
      </c>
      <c r="B114" s="19" t="s">
        <v>511</v>
      </c>
      <c r="C114" s="19" t="s">
        <v>522</v>
      </c>
      <c r="D114" s="19" t="s">
        <v>483</v>
      </c>
      <c r="E114" s="20" t="s">
        <v>523</v>
      </c>
      <c r="F114" s="37" t="s">
        <v>291</v>
      </c>
      <c r="G114" s="23" t="s">
        <v>512</v>
      </c>
      <c r="H114" s="24" t="s">
        <v>23</v>
      </c>
      <c r="I114" s="19"/>
      <c r="J114" s="20"/>
    </row>
    <row r="115" ht="15.75" customHeight="1">
      <c r="A115" s="11" t="s">
        <v>13</v>
      </c>
      <c r="B115" s="11" t="s">
        <v>287</v>
      </c>
      <c r="C115" s="11" t="s">
        <v>528</v>
      </c>
      <c r="D115" s="11" t="s">
        <v>530</v>
      </c>
      <c r="E115" s="14" t="s">
        <v>531</v>
      </c>
      <c r="F115" s="37" t="s">
        <v>291</v>
      </c>
      <c r="G115" s="17" t="s">
        <v>533</v>
      </c>
      <c r="H115" s="24" t="s">
        <v>23</v>
      </c>
      <c r="I115" s="11"/>
      <c r="J115" s="14"/>
    </row>
    <row r="116" ht="15.75" customHeight="1">
      <c r="A116" s="11" t="s">
        <v>13</v>
      </c>
      <c r="B116" s="11" t="s">
        <v>290</v>
      </c>
      <c r="C116" s="11" t="s">
        <v>537</v>
      </c>
      <c r="D116" s="11" t="s">
        <v>530</v>
      </c>
      <c r="E116" s="14" t="s">
        <v>538</v>
      </c>
      <c r="F116" s="37" t="s">
        <v>291</v>
      </c>
      <c r="G116" s="17" t="s">
        <v>533</v>
      </c>
      <c r="H116" s="24" t="s">
        <v>23</v>
      </c>
      <c r="I116" s="11"/>
      <c r="J116" s="14"/>
    </row>
    <row r="117" ht="15.75" customHeight="1">
      <c r="A117" s="11" t="s">
        <v>13</v>
      </c>
      <c r="B117" s="11" t="s">
        <v>292</v>
      </c>
      <c r="C117" s="11" t="s">
        <v>543</v>
      </c>
      <c r="D117" s="11" t="s">
        <v>530</v>
      </c>
      <c r="E117" s="14" t="s">
        <v>546</v>
      </c>
      <c r="F117" s="37" t="s">
        <v>291</v>
      </c>
      <c r="G117" s="17" t="s">
        <v>533</v>
      </c>
      <c r="H117" s="24" t="s">
        <v>23</v>
      </c>
      <c r="I117" s="11"/>
      <c r="J117" s="14"/>
    </row>
    <row r="118" ht="15.75" customHeight="1">
      <c r="A118" s="11" t="s">
        <v>13</v>
      </c>
      <c r="B118" s="11" t="s">
        <v>293</v>
      </c>
      <c r="C118" s="11" t="s">
        <v>550</v>
      </c>
      <c r="D118" s="11" t="s">
        <v>530</v>
      </c>
      <c r="E118" s="14" t="s">
        <v>551</v>
      </c>
      <c r="F118" s="37" t="s">
        <v>291</v>
      </c>
      <c r="G118" s="17" t="s">
        <v>533</v>
      </c>
      <c r="H118" s="24" t="s">
        <v>23</v>
      </c>
      <c r="I118" s="11"/>
      <c r="J118" s="14"/>
    </row>
    <row r="119" ht="15.75" customHeight="1">
      <c r="A119" s="11" t="s">
        <v>13</v>
      </c>
      <c r="B119" s="11" t="s">
        <v>297</v>
      </c>
      <c r="C119" s="11" t="s">
        <v>554</v>
      </c>
      <c r="D119" s="11" t="s">
        <v>530</v>
      </c>
      <c r="E119" s="14" t="s">
        <v>556</v>
      </c>
      <c r="F119" s="37" t="s">
        <v>291</v>
      </c>
      <c r="G119" s="17" t="s">
        <v>533</v>
      </c>
      <c r="H119" s="24" t="s">
        <v>23</v>
      </c>
      <c r="I119" s="11"/>
      <c r="J119" s="14"/>
    </row>
    <row r="120" ht="15.75" customHeight="1">
      <c r="A120" s="11" t="s">
        <v>13</v>
      </c>
      <c r="B120" s="11" t="s">
        <v>298</v>
      </c>
      <c r="C120" s="11" t="s">
        <v>559</v>
      </c>
      <c r="D120" s="11" t="s">
        <v>530</v>
      </c>
      <c r="E120" s="14" t="s">
        <v>560</v>
      </c>
      <c r="F120" s="37" t="s">
        <v>291</v>
      </c>
      <c r="G120" s="17" t="s">
        <v>533</v>
      </c>
      <c r="H120" s="24" t="s">
        <v>23</v>
      </c>
      <c r="I120" s="11"/>
      <c r="J120" s="14"/>
    </row>
    <row r="121" ht="15.75" customHeight="1">
      <c r="A121" s="11" t="s">
        <v>13</v>
      </c>
      <c r="B121" s="11" t="s">
        <v>302</v>
      </c>
      <c r="C121" s="11" t="s">
        <v>563</v>
      </c>
      <c r="D121" s="11" t="s">
        <v>530</v>
      </c>
      <c r="E121" s="14" t="s">
        <v>565</v>
      </c>
      <c r="F121" s="37" t="s">
        <v>291</v>
      </c>
      <c r="G121" s="17" t="s">
        <v>533</v>
      </c>
      <c r="H121" s="24" t="s">
        <v>23</v>
      </c>
      <c r="I121" s="11"/>
      <c r="J121" s="14"/>
    </row>
    <row r="122" ht="15.75" customHeight="1">
      <c r="A122" s="11" t="s">
        <v>13</v>
      </c>
      <c r="B122" s="11" t="s">
        <v>303</v>
      </c>
      <c r="C122" s="11" t="s">
        <v>567</v>
      </c>
      <c r="D122" s="11" t="s">
        <v>530</v>
      </c>
      <c r="E122" s="14" t="s">
        <v>568</v>
      </c>
      <c r="F122" s="37" t="s">
        <v>291</v>
      </c>
      <c r="G122" s="17" t="s">
        <v>533</v>
      </c>
      <c r="H122" s="24" t="s">
        <v>23</v>
      </c>
      <c r="I122" s="11"/>
      <c r="J122" s="14"/>
    </row>
    <row r="123" ht="15.75" customHeight="1">
      <c r="A123" s="11" t="s">
        <v>13</v>
      </c>
      <c r="B123" s="11" t="s">
        <v>305</v>
      </c>
      <c r="C123" s="11" t="s">
        <v>573</v>
      </c>
      <c r="D123" s="11" t="s">
        <v>530</v>
      </c>
      <c r="E123" s="14" t="s">
        <v>574</v>
      </c>
      <c r="F123" s="37" t="s">
        <v>291</v>
      </c>
      <c r="G123" s="17" t="s">
        <v>533</v>
      </c>
      <c r="H123" s="24" t="s">
        <v>23</v>
      </c>
      <c r="I123" s="11"/>
      <c r="J123" s="14"/>
    </row>
    <row r="124" ht="15.75" customHeight="1">
      <c r="A124" s="11" t="s">
        <v>13</v>
      </c>
      <c r="B124" s="11" t="s">
        <v>307</v>
      </c>
      <c r="C124" s="11" t="s">
        <v>576</v>
      </c>
      <c r="D124" s="11" t="s">
        <v>530</v>
      </c>
      <c r="E124" s="14" t="s">
        <v>577</v>
      </c>
      <c r="F124" s="37" t="s">
        <v>291</v>
      </c>
      <c r="G124" s="17" t="s">
        <v>533</v>
      </c>
      <c r="H124" s="24" t="s">
        <v>23</v>
      </c>
      <c r="I124" s="11"/>
      <c r="J124" s="14"/>
    </row>
    <row r="125" ht="15.75" customHeight="1">
      <c r="A125" s="11" t="s">
        <v>13</v>
      </c>
      <c r="B125" s="11" t="s">
        <v>308</v>
      </c>
      <c r="C125" s="11" t="s">
        <v>578</v>
      </c>
      <c r="D125" s="11" t="s">
        <v>530</v>
      </c>
      <c r="E125" s="14" t="s">
        <v>579</v>
      </c>
      <c r="F125" s="37" t="s">
        <v>291</v>
      </c>
      <c r="G125" s="17" t="s">
        <v>533</v>
      </c>
      <c r="H125" s="24" t="s">
        <v>23</v>
      </c>
      <c r="I125" s="11"/>
      <c r="J125" s="14"/>
    </row>
    <row r="126" ht="15.75" customHeight="1">
      <c r="A126" s="11" t="s">
        <v>13</v>
      </c>
      <c r="B126" s="11" t="s">
        <v>311</v>
      </c>
      <c r="C126" s="11" t="s">
        <v>582</v>
      </c>
      <c r="D126" s="11" t="s">
        <v>530</v>
      </c>
      <c r="E126" s="14" t="s">
        <v>583</v>
      </c>
      <c r="F126" s="37" t="s">
        <v>291</v>
      </c>
      <c r="G126" s="17" t="s">
        <v>533</v>
      </c>
      <c r="H126" s="24" t="s">
        <v>23</v>
      </c>
      <c r="I126" s="11"/>
      <c r="J126" s="14"/>
    </row>
    <row r="127" ht="15.75" customHeight="1">
      <c r="A127" s="11" t="s">
        <v>13</v>
      </c>
      <c r="B127" s="11" t="s">
        <v>312</v>
      </c>
      <c r="C127" s="11" t="s">
        <v>586</v>
      </c>
      <c r="D127" s="11" t="s">
        <v>530</v>
      </c>
      <c r="E127" s="14" t="s">
        <v>588</v>
      </c>
      <c r="F127" s="37" t="s">
        <v>291</v>
      </c>
      <c r="G127" s="17" t="s">
        <v>533</v>
      </c>
      <c r="H127" s="24" t="s">
        <v>23</v>
      </c>
      <c r="I127" s="11"/>
      <c r="J127" s="14"/>
    </row>
    <row r="128" ht="15.75" customHeight="1">
      <c r="A128" s="11" t="s">
        <v>13</v>
      </c>
      <c r="B128" s="11" t="s">
        <v>315</v>
      </c>
      <c r="C128" s="11" t="s">
        <v>590</v>
      </c>
      <c r="D128" s="11" t="s">
        <v>530</v>
      </c>
      <c r="E128" s="14" t="s">
        <v>592</v>
      </c>
      <c r="F128" s="37" t="s">
        <v>291</v>
      </c>
      <c r="G128" s="17" t="s">
        <v>533</v>
      </c>
      <c r="H128" s="24" t="s">
        <v>23</v>
      </c>
      <c r="I128" s="11"/>
      <c r="J128" s="14"/>
    </row>
    <row r="129" ht="15.75" customHeight="1">
      <c r="A129" s="11" t="s">
        <v>13</v>
      </c>
      <c r="B129" s="11" t="s">
        <v>320</v>
      </c>
      <c r="C129" s="11" t="s">
        <v>594</v>
      </c>
      <c r="D129" s="11" t="s">
        <v>530</v>
      </c>
      <c r="E129" s="14" t="s">
        <v>596</v>
      </c>
      <c r="F129" s="37" t="s">
        <v>291</v>
      </c>
      <c r="G129" s="17" t="s">
        <v>533</v>
      </c>
      <c r="H129" s="24" t="s">
        <v>23</v>
      </c>
      <c r="I129" s="11"/>
      <c r="J129" s="14"/>
    </row>
    <row r="130" ht="15.75" customHeight="1">
      <c r="A130" s="11" t="s">
        <v>13</v>
      </c>
      <c r="B130" s="11" t="s">
        <v>321</v>
      </c>
      <c r="C130" s="11" t="s">
        <v>599</v>
      </c>
      <c r="D130" s="11" t="s">
        <v>530</v>
      </c>
      <c r="E130" s="14" t="s">
        <v>600</v>
      </c>
      <c r="F130" s="37" t="s">
        <v>291</v>
      </c>
      <c r="G130" s="17" t="s">
        <v>533</v>
      </c>
      <c r="H130" s="24" t="s">
        <v>23</v>
      </c>
      <c r="I130" s="11"/>
      <c r="J130" s="14"/>
    </row>
    <row r="131" ht="15.75" customHeight="1">
      <c r="A131" s="11" t="s">
        <v>13</v>
      </c>
      <c r="B131" s="11" t="s">
        <v>324</v>
      </c>
      <c r="C131" s="11" t="s">
        <v>603</v>
      </c>
      <c r="D131" s="11" t="s">
        <v>530</v>
      </c>
      <c r="E131" s="14" t="s">
        <v>604</v>
      </c>
      <c r="F131" s="37" t="s">
        <v>291</v>
      </c>
      <c r="G131" s="17" t="s">
        <v>533</v>
      </c>
      <c r="H131" s="24" t="s">
        <v>23</v>
      </c>
      <c r="I131" s="11"/>
      <c r="J131" s="14"/>
    </row>
    <row r="132" ht="15.75" customHeight="1">
      <c r="A132" s="11" t="s">
        <v>13</v>
      </c>
      <c r="B132" s="11" t="s">
        <v>325</v>
      </c>
      <c r="C132" s="11" t="s">
        <v>606</v>
      </c>
      <c r="D132" s="11" t="s">
        <v>530</v>
      </c>
      <c r="E132" s="14" t="s">
        <v>607</v>
      </c>
      <c r="F132" s="37" t="s">
        <v>291</v>
      </c>
      <c r="G132" s="17" t="s">
        <v>533</v>
      </c>
      <c r="H132" s="24" t="s">
        <v>23</v>
      </c>
      <c r="I132" s="11"/>
      <c r="J132" s="14"/>
    </row>
    <row r="133" ht="15.75" customHeight="1">
      <c r="A133" s="11" t="s">
        <v>13</v>
      </c>
      <c r="B133" s="11" t="s">
        <v>328</v>
      </c>
      <c r="C133" s="11" t="s">
        <v>608</v>
      </c>
      <c r="D133" s="11" t="s">
        <v>530</v>
      </c>
      <c r="E133" s="14" t="s">
        <v>609</v>
      </c>
      <c r="F133" s="37" t="s">
        <v>291</v>
      </c>
      <c r="G133" s="17" t="s">
        <v>533</v>
      </c>
      <c r="H133" s="24" t="s">
        <v>23</v>
      </c>
      <c r="I133" s="11"/>
      <c r="J133" s="14"/>
    </row>
    <row r="134" ht="15.75" customHeight="1">
      <c r="A134" s="11" t="s">
        <v>13</v>
      </c>
      <c r="B134" s="11" t="s">
        <v>329</v>
      </c>
      <c r="C134" s="11" t="s">
        <v>610</v>
      </c>
      <c r="D134" s="11" t="s">
        <v>530</v>
      </c>
      <c r="E134" s="14" t="s">
        <v>611</v>
      </c>
      <c r="F134" s="37" t="s">
        <v>291</v>
      </c>
      <c r="G134" s="17" t="s">
        <v>533</v>
      </c>
      <c r="H134" s="24" t="s">
        <v>23</v>
      </c>
      <c r="I134" s="11"/>
      <c r="J134" s="14"/>
    </row>
    <row r="135" ht="15.75" customHeight="1">
      <c r="A135" s="11" t="s">
        <v>13</v>
      </c>
      <c r="B135" s="11" t="s">
        <v>331</v>
      </c>
      <c r="C135" s="11" t="s">
        <v>612</v>
      </c>
      <c r="D135" s="11" t="s">
        <v>530</v>
      </c>
      <c r="E135" s="14" t="s">
        <v>613</v>
      </c>
      <c r="F135" s="37" t="s">
        <v>291</v>
      </c>
      <c r="G135" s="17" t="s">
        <v>533</v>
      </c>
      <c r="H135" s="24" t="s">
        <v>23</v>
      </c>
      <c r="I135" s="11"/>
      <c r="J135" s="14"/>
    </row>
    <row r="136" ht="15.75" customHeight="1">
      <c r="A136" s="11" t="s">
        <v>13</v>
      </c>
      <c r="B136" s="11" t="s">
        <v>333</v>
      </c>
      <c r="C136" s="11" t="s">
        <v>614</v>
      </c>
      <c r="D136" s="11" t="s">
        <v>530</v>
      </c>
      <c r="E136" s="14" t="s">
        <v>615</v>
      </c>
      <c r="F136" s="37" t="s">
        <v>291</v>
      </c>
      <c r="G136" s="17" t="s">
        <v>533</v>
      </c>
      <c r="H136" s="24" t="s">
        <v>23</v>
      </c>
      <c r="I136" s="11"/>
      <c r="J136" s="14"/>
    </row>
    <row r="137" ht="15.75" customHeight="1">
      <c r="A137" s="11" t="s">
        <v>13</v>
      </c>
      <c r="B137" s="11" t="s">
        <v>336</v>
      </c>
      <c r="C137" s="11" t="s">
        <v>616</v>
      </c>
      <c r="D137" s="11" t="s">
        <v>530</v>
      </c>
      <c r="E137" s="14" t="s">
        <v>617</v>
      </c>
      <c r="F137" s="37" t="s">
        <v>291</v>
      </c>
      <c r="G137" s="17" t="s">
        <v>533</v>
      </c>
      <c r="H137" s="24" t="s">
        <v>23</v>
      </c>
      <c r="I137" s="11"/>
      <c r="J137" s="14"/>
    </row>
    <row r="138" ht="15.75" customHeight="1">
      <c r="A138" s="11" t="s">
        <v>13</v>
      </c>
      <c r="B138" s="11" t="s">
        <v>337</v>
      </c>
      <c r="C138" s="11" t="s">
        <v>618</v>
      </c>
      <c r="D138" s="11" t="s">
        <v>530</v>
      </c>
      <c r="E138" s="14" t="s">
        <v>619</v>
      </c>
      <c r="F138" s="37" t="s">
        <v>291</v>
      </c>
      <c r="G138" s="17" t="s">
        <v>533</v>
      </c>
      <c r="H138" s="24" t="s">
        <v>23</v>
      </c>
      <c r="I138" s="11"/>
      <c r="J138" s="14"/>
    </row>
    <row r="139" ht="15.75" customHeight="1">
      <c r="A139" s="11" t="s">
        <v>13</v>
      </c>
      <c r="B139" s="11" t="s">
        <v>340</v>
      </c>
      <c r="C139" s="11" t="s">
        <v>620</v>
      </c>
      <c r="D139" s="11" t="s">
        <v>530</v>
      </c>
      <c r="E139" s="14" t="s">
        <v>621</v>
      </c>
      <c r="F139" s="37" t="s">
        <v>291</v>
      </c>
      <c r="G139" s="17" t="s">
        <v>533</v>
      </c>
      <c r="H139" s="24" t="s">
        <v>23</v>
      </c>
      <c r="I139" s="11"/>
      <c r="J139" s="14"/>
    </row>
    <row r="140" ht="15.75" customHeight="1">
      <c r="A140" s="11" t="s">
        <v>13</v>
      </c>
      <c r="B140" s="11" t="s">
        <v>341</v>
      </c>
      <c r="C140" s="11" t="s">
        <v>622</v>
      </c>
      <c r="D140" s="11" t="s">
        <v>530</v>
      </c>
      <c r="E140" s="14" t="s">
        <v>623</v>
      </c>
      <c r="F140" s="37" t="s">
        <v>291</v>
      </c>
      <c r="G140" s="17" t="s">
        <v>533</v>
      </c>
      <c r="H140" s="24" t="s">
        <v>23</v>
      </c>
      <c r="I140" s="11"/>
      <c r="J140" s="14"/>
    </row>
    <row r="141" ht="15.75" customHeight="1">
      <c r="A141" s="11" t="s">
        <v>13</v>
      </c>
      <c r="B141" s="11" t="s">
        <v>344</v>
      </c>
      <c r="C141" s="11" t="s">
        <v>624</v>
      </c>
      <c r="D141" s="11" t="s">
        <v>530</v>
      </c>
      <c r="E141" s="14" t="s">
        <v>625</v>
      </c>
      <c r="F141" s="37" t="s">
        <v>291</v>
      </c>
      <c r="G141" s="17" t="s">
        <v>533</v>
      </c>
      <c r="H141" s="24" t="s">
        <v>23</v>
      </c>
      <c r="I141" s="11"/>
      <c r="J141" s="14"/>
    </row>
    <row r="142" ht="15.75" customHeight="1">
      <c r="A142" s="11" t="s">
        <v>13</v>
      </c>
      <c r="B142" s="11" t="s">
        <v>345</v>
      </c>
      <c r="C142" s="11" t="s">
        <v>626</v>
      </c>
      <c r="D142" s="11" t="s">
        <v>530</v>
      </c>
      <c r="E142" s="14" t="s">
        <v>627</v>
      </c>
      <c r="F142" s="37" t="s">
        <v>291</v>
      </c>
      <c r="G142" s="17" t="s">
        <v>533</v>
      </c>
      <c r="H142" s="24" t="s">
        <v>23</v>
      </c>
      <c r="I142" s="11"/>
      <c r="J142" s="14"/>
    </row>
    <row r="143" ht="15.75" customHeight="1">
      <c r="A143" s="11" t="s">
        <v>13</v>
      </c>
      <c r="B143" s="11" t="s">
        <v>346</v>
      </c>
      <c r="C143" s="11" t="s">
        <v>628</v>
      </c>
      <c r="D143" s="11" t="s">
        <v>530</v>
      </c>
      <c r="E143" s="14" t="s">
        <v>629</v>
      </c>
      <c r="F143" s="37" t="s">
        <v>291</v>
      </c>
      <c r="G143" s="17" t="s">
        <v>533</v>
      </c>
      <c r="H143" s="24" t="s">
        <v>23</v>
      </c>
      <c r="I143" s="11"/>
      <c r="J143" s="14"/>
    </row>
    <row r="144" ht="15.75" customHeight="1">
      <c r="A144" s="11" t="s">
        <v>13</v>
      </c>
      <c r="B144" s="11" t="s">
        <v>349</v>
      </c>
      <c r="C144" s="11" t="s">
        <v>630</v>
      </c>
      <c r="D144" s="11" t="s">
        <v>530</v>
      </c>
      <c r="E144" s="14" t="s">
        <v>631</v>
      </c>
      <c r="F144" s="37" t="s">
        <v>291</v>
      </c>
      <c r="G144" s="17" t="s">
        <v>533</v>
      </c>
      <c r="H144" s="24" t="s">
        <v>23</v>
      </c>
      <c r="I144" s="11"/>
      <c r="J144" s="14"/>
    </row>
    <row r="145" ht="15.75" customHeight="1">
      <c r="A145" s="11" t="s">
        <v>13</v>
      </c>
      <c r="B145" s="11" t="s">
        <v>350</v>
      </c>
      <c r="C145" s="11" t="s">
        <v>632</v>
      </c>
      <c r="D145" s="11" t="s">
        <v>530</v>
      </c>
      <c r="E145" s="14" t="s">
        <v>633</v>
      </c>
      <c r="F145" s="37" t="s">
        <v>291</v>
      </c>
      <c r="G145" s="17" t="s">
        <v>533</v>
      </c>
      <c r="H145" s="24" t="s">
        <v>23</v>
      </c>
      <c r="I145" s="11"/>
      <c r="J145" s="14"/>
    </row>
    <row r="146" ht="15.75" customHeight="1">
      <c r="A146" s="11" t="s">
        <v>13</v>
      </c>
      <c r="B146" s="11" t="s">
        <v>352</v>
      </c>
      <c r="C146" s="11" t="s">
        <v>634</v>
      </c>
      <c r="D146" s="11" t="s">
        <v>530</v>
      </c>
      <c r="E146" s="14" t="s">
        <v>635</v>
      </c>
      <c r="F146" s="37" t="s">
        <v>291</v>
      </c>
      <c r="G146" s="17" t="s">
        <v>533</v>
      </c>
      <c r="H146" s="24" t="s">
        <v>23</v>
      </c>
      <c r="I146" s="11"/>
      <c r="J146" s="14"/>
    </row>
    <row r="147" ht="15.75" customHeight="1">
      <c r="A147" s="11" t="s">
        <v>13</v>
      </c>
      <c r="B147" s="11" t="s">
        <v>354</v>
      </c>
      <c r="C147" s="11" t="s">
        <v>636</v>
      </c>
      <c r="D147" s="11" t="s">
        <v>530</v>
      </c>
      <c r="E147" s="14" t="s">
        <v>637</v>
      </c>
      <c r="F147" s="37" t="s">
        <v>291</v>
      </c>
      <c r="G147" s="17" t="s">
        <v>533</v>
      </c>
      <c r="H147" s="24" t="s">
        <v>23</v>
      </c>
      <c r="I147" s="11"/>
      <c r="J147" s="14"/>
    </row>
    <row r="148" ht="15.75" customHeight="1">
      <c r="A148" s="11" t="s">
        <v>13</v>
      </c>
      <c r="B148" s="11" t="s">
        <v>356</v>
      </c>
      <c r="C148" s="11" t="s">
        <v>640</v>
      </c>
      <c r="D148" s="11" t="s">
        <v>530</v>
      </c>
      <c r="E148" s="14" t="s">
        <v>641</v>
      </c>
      <c r="F148" s="30" t="s">
        <v>88</v>
      </c>
      <c r="G148" s="17" t="s">
        <v>642</v>
      </c>
      <c r="H148" s="24" t="s">
        <v>23</v>
      </c>
      <c r="I148" s="11"/>
      <c r="J148" s="14"/>
    </row>
    <row r="149" ht="15.75" customHeight="1">
      <c r="A149" s="11" t="s">
        <v>13</v>
      </c>
      <c r="B149" s="11" t="s">
        <v>359</v>
      </c>
      <c r="C149" s="11" t="s">
        <v>645</v>
      </c>
      <c r="D149" s="11" t="s">
        <v>530</v>
      </c>
      <c r="E149" s="14" t="s">
        <v>646</v>
      </c>
      <c r="F149" s="30" t="s">
        <v>88</v>
      </c>
      <c r="G149" s="17" t="s">
        <v>642</v>
      </c>
      <c r="H149" s="24" t="s">
        <v>23</v>
      </c>
      <c r="I149" s="11"/>
      <c r="J149" s="14"/>
    </row>
    <row r="150" ht="15.75" customHeight="1">
      <c r="A150" s="11" t="s">
        <v>13</v>
      </c>
      <c r="B150" s="11" t="s">
        <v>360</v>
      </c>
      <c r="C150" s="11" t="s">
        <v>648</v>
      </c>
      <c r="D150" s="11" t="s">
        <v>530</v>
      </c>
      <c r="E150" s="14" t="s">
        <v>649</v>
      </c>
      <c r="F150" s="30" t="s">
        <v>88</v>
      </c>
      <c r="G150" s="17" t="s">
        <v>642</v>
      </c>
      <c r="H150" s="24" t="s">
        <v>23</v>
      </c>
      <c r="I150" s="11"/>
      <c r="J150" s="14"/>
    </row>
    <row r="151" ht="15.75" customHeight="1">
      <c r="A151" s="11" t="s">
        <v>13</v>
      </c>
      <c r="B151" s="11" t="s">
        <v>527</v>
      </c>
      <c r="C151" s="11" t="s">
        <v>651</v>
      </c>
      <c r="D151" s="11" t="s">
        <v>530</v>
      </c>
      <c r="E151" s="14" t="s">
        <v>652</v>
      </c>
      <c r="F151" s="30" t="s">
        <v>88</v>
      </c>
      <c r="G151" s="17" t="s">
        <v>642</v>
      </c>
      <c r="H151" s="24" t="s">
        <v>23</v>
      </c>
      <c r="I151" s="11"/>
      <c r="J151" s="14"/>
    </row>
    <row r="152" ht="15.75" customHeight="1">
      <c r="A152" s="11" t="s">
        <v>13</v>
      </c>
      <c r="B152" s="11" t="s">
        <v>529</v>
      </c>
      <c r="C152" s="11" t="s">
        <v>653</v>
      </c>
      <c r="D152" s="11" t="s">
        <v>530</v>
      </c>
      <c r="E152" s="14" t="s">
        <v>654</v>
      </c>
      <c r="F152" s="30" t="s">
        <v>88</v>
      </c>
      <c r="G152" s="17" t="s">
        <v>642</v>
      </c>
      <c r="H152" s="24" t="s">
        <v>23</v>
      </c>
      <c r="I152" s="11"/>
      <c r="J152" s="14"/>
    </row>
    <row r="153" ht="15.75" customHeight="1">
      <c r="A153" s="11" t="s">
        <v>13</v>
      </c>
      <c r="B153" s="11" t="s">
        <v>534</v>
      </c>
      <c r="C153" s="11" t="s">
        <v>655</v>
      </c>
      <c r="D153" s="11" t="s">
        <v>530</v>
      </c>
      <c r="E153" s="14" t="s">
        <v>656</v>
      </c>
      <c r="F153" s="37" t="s">
        <v>291</v>
      </c>
      <c r="G153" s="17" t="s">
        <v>533</v>
      </c>
      <c r="H153" s="24" t="s">
        <v>23</v>
      </c>
      <c r="I153" s="11"/>
      <c r="J153" s="14"/>
    </row>
    <row r="154" ht="15.75" customHeight="1">
      <c r="A154" s="11" t="s">
        <v>13</v>
      </c>
      <c r="B154" s="11" t="s">
        <v>535</v>
      </c>
      <c r="C154" s="11" t="s">
        <v>657</v>
      </c>
      <c r="D154" s="11" t="s">
        <v>530</v>
      </c>
      <c r="E154" s="14" t="s">
        <v>658</v>
      </c>
      <c r="F154" s="37" t="s">
        <v>291</v>
      </c>
      <c r="G154" s="17" t="s">
        <v>533</v>
      </c>
      <c r="H154" s="24" t="s">
        <v>23</v>
      </c>
      <c r="I154" s="11"/>
      <c r="J154" s="14"/>
    </row>
    <row r="155" ht="15.75" customHeight="1">
      <c r="A155" s="11" t="s">
        <v>13</v>
      </c>
      <c r="B155" s="11" t="s">
        <v>539</v>
      </c>
      <c r="C155" s="11" t="s">
        <v>659</v>
      </c>
      <c r="D155" s="11" t="s">
        <v>530</v>
      </c>
      <c r="E155" s="14" t="s">
        <v>660</v>
      </c>
      <c r="F155" s="37" t="s">
        <v>291</v>
      </c>
      <c r="G155" s="17" t="s">
        <v>533</v>
      </c>
      <c r="H155" s="24" t="s">
        <v>23</v>
      </c>
      <c r="I155" s="11"/>
      <c r="J155" s="14"/>
    </row>
    <row r="156" ht="15.75" customHeight="1">
      <c r="A156" s="11" t="s">
        <v>13</v>
      </c>
      <c r="B156" s="11" t="s">
        <v>541</v>
      </c>
      <c r="C156" s="11" t="s">
        <v>661</v>
      </c>
      <c r="D156" s="11" t="s">
        <v>530</v>
      </c>
      <c r="E156" s="14" t="s">
        <v>662</v>
      </c>
      <c r="F156" s="37" t="s">
        <v>291</v>
      </c>
      <c r="G156" s="17" t="s">
        <v>533</v>
      </c>
      <c r="H156" s="24" t="s">
        <v>23</v>
      </c>
      <c r="I156" s="11"/>
      <c r="J156" s="14"/>
    </row>
    <row r="157" ht="15.75" customHeight="1">
      <c r="A157" s="11" t="s">
        <v>13</v>
      </c>
      <c r="B157" s="11" t="s">
        <v>545</v>
      </c>
      <c r="C157" s="11" t="s">
        <v>663</v>
      </c>
      <c r="D157" s="11" t="s">
        <v>530</v>
      </c>
      <c r="E157" s="14" t="s">
        <v>664</v>
      </c>
      <c r="F157" s="37" t="s">
        <v>291</v>
      </c>
      <c r="G157" s="17" t="s">
        <v>533</v>
      </c>
      <c r="H157" s="24" t="s">
        <v>23</v>
      </c>
      <c r="I157" s="11"/>
      <c r="J157" s="14"/>
    </row>
    <row r="158" ht="15.75" customHeight="1">
      <c r="A158" s="11" t="s">
        <v>13</v>
      </c>
      <c r="B158" s="11" t="s">
        <v>547</v>
      </c>
      <c r="C158" s="11" t="s">
        <v>665</v>
      </c>
      <c r="D158" s="11" t="s">
        <v>530</v>
      </c>
      <c r="E158" s="14" t="s">
        <v>666</v>
      </c>
      <c r="F158" s="37" t="s">
        <v>291</v>
      </c>
      <c r="G158" s="17" t="s">
        <v>533</v>
      </c>
      <c r="H158" s="24" t="s">
        <v>23</v>
      </c>
      <c r="I158" s="11"/>
      <c r="J158" s="14"/>
    </row>
    <row r="159" ht="15.75" customHeight="1">
      <c r="A159" s="11" t="s">
        <v>13</v>
      </c>
      <c r="B159" s="11" t="s">
        <v>549</v>
      </c>
      <c r="C159" s="11" t="s">
        <v>667</v>
      </c>
      <c r="D159" s="11" t="s">
        <v>530</v>
      </c>
      <c r="E159" s="14" t="s">
        <v>668</v>
      </c>
      <c r="F159" s="37" t="s">
        <v>291</v>
      </c>
      <c r="G159" s="17" t="s">
        <v>533</v>
      </c>
      <c r="H159" s="24" t="s">
        <v>23</v>
      </c>
      <c r="I159" s="11"/>
      <c r="J159" s="14"/>
    </row>
    <row r="160" ht="15.75" customHeight="1">
      <c r="A160" s="11" t="s">
        <v>13</v>
      </c>
      <c r="B160" s="11" t="s">
        <v>552</v>
      </c>
      <c r="C160" s="11" t="s">
        <v>669</v>
      </c>
      <c r="D160" s="11" t="s">
        <v>530</v>
      </c>
      <c r="E160" s="14" t="s">
        <v>670</v>
      </c>
      <c r="F160" s="37" t="s">
        <v>291</v>
      </c>
      <c r="G160" s="17" t="s">
        <v>533</v>
      </c>
      <c r="H160" s="24" t="s">
        <v>23</v>
      </c>
      <c r="I160" s="11"/>
      <c r="J160" s="14"/>
    </row>
    <row r="161" ht="15.75" customHeight="1">
      <c r="A161" s="11" t="s">
        <v>13</v>
      </c>
      <c r="B161" s="11" t="s">
        <v>553</v>
      </c>
      <c r="C161" s="11" t="s">
        <v>671</v>
      </c>
      <c r="D161" s="11" t="s">
        <v>530</v>
      </c>
      <c r="E161" s="14" t="s">
        <v>672</v>
      </c>
      <c r="F161" s="37" t="s">
        <v>291</v>
      </c>
      <c r="G161" s="17" t="s">
        <v>533</v>
      </c>
      <c r="H161" s="24" t="s">
        <v>23</v>
      </c>
      <c r="I161" s="11"/>
      <c r="J161" s="14"/>
    </row>
    <row r="162" ht="15.75" customHeight="1">
      <c r="A162" s="11" t="s">
        <v>13</v>
      </c>
      <c r="B162" s="11" t="s">
        <v>584</v>
      </c>
      <c r="C162" s="11" t="s">
        <v>673</v>
      </c>
      <c r="D162" s="11" t="s">
        <v>530</v>
      </c>
      <c r="E162" s="14" t="s">
        <v>674</v>
      </c>
      <c r="F162" s="37" t="s">
        <v>291</v>
      </c>
      <c r="G162" s="17" t="s">
        <v>533</v>
      </c>
      <c r="H162" s="24" t="s">
        <v>23</v>
      </c>
      <c r="I162" s="11"/>
      <c r="J162" s="14"/>
    </row>
    <row r="163" ht="15.75" customHeight="1">
      <c r="A163" s="19" t="s">
        <v>13</v>
      </c>
      <c r="B163" s="19" t="s">
        <v>363</v>
      </c>
      <c r="C163" s="19" t="s">
        <v>675</v>
      </c>
      <c r="D163" s="19" t="s">
        <v>676</v>
      </c>
      <c r="E163" s="20" t="s">
        <v>677</v>
      </c>
      <c r="F163" s="37" t="s">
        <v>291</v>
      </c>
      <c r="G163" s="23" t="s">
        <v>678</v>
      </c>
      <c r="H163" s="24" t="s">
        <v>23</v>
      </c>
      <c r="I163" s="19"/>
      <c r="J163" s="20"/>
    </row>
    <row r="164" ht="15.75" customHeight="1">
      <c r="A164" s="19" t="s">
        <v>13</v>
      </c>
      <c r="B164" s="19" t="s">
        <v>364</v>
      </c>
      <c r="C164" s="19" t="s">
        <v>679</v>
      </c>
      <c r="D164" s="19" t="s">
        <v>676</v>
      </c>
      <c r="E164" s="20" t="s">
        <v>680</v>
      </c>
      <c r="F164" s="37" t="s">
        <v>291</v>
      </c>
      <c r="G164" s="23" t="s">
        <v>678</v>
      </c>
      <c r="H164" s="24" t="s">
        <v>23</v>
      </c>
      <c r="I164" s="19"/>
      <c r="J164" s="20"/>
    </row>
    <row r="165" ht="15.75" customHeight="1">
      <c r="A165" s="19" t="s">
        <v>13</v>
      </c>
      <c r="B165" s="19" t="s">
        <v>367</v>
      </c>
      <c r="C165" s="19" t="s">
        <v>681</v>
      </c>
      <c r="D165" s="19" t="s">
        <v>676</v>
      </c>
      <c r="E165" s="20" t="s">
        <v>682</v>
      </c>
      <c r="F165" s="37" t="s">
        <v>291</v>
      </c>
      <c r="G165" s="23" t="s">
        <v>678</v>
      </c>
      <c r="H165" s="24" t="s">
        <v>23</v>
      </c>
      <c r="I165" s="19"/>
      <c r="J165" s="20"/>
    </row>
    <row r="166" ht="15.75" customHeight="1">
      <c r="A166" s="19" t="s">
        <v>13</v>
      </c>
      <c r="B166" s="19" t="s">
        <v>369</v>
      </c>
      <c r="C166" s="19" t="s">
        <v>683</v>
      </c>
      <c r="D166" s="19" t="s">
        <v>676</v>
      </c>
      <c r="E166" s="20" t="s">
        <v>684</v>
      </c>
      <c r="F166" s="37" t="s">
        <v>291</v>
      </c>
      <c r="G166" s="23" t="s">
        <v>678</v>
      </c>
      <c r="H166" s="24" t="s">
        <v>23</v>
      </c>
      <c r="I166" s="19"/>
      <c r="J166" s="20"/>
    </row>
    <row r="167" ht="15.75" customHeight="1">
      <c r="A167" s="19" t="s">
        <v>13</v>
      </c>
      <c r="B167" s="19" t="s">
        <v>372</v>
      </c>
      <c r="C167" s="19" t="s">
        <v>685</v>
      </c>
      <c r="D167" s="19" t="s">
        <v>676</v>
      </c>
      <c r="E167" s="20" t="s">
        <v>686</v>
      </c>
      <c r="F167" s="37" t="s">
        <v>291</v>
      </c>
      <c r="G167" s="23" t="s">
        <v>678</v>
      </c>
      <c r="H167" s="24" t="s">
        <v>23</v>
      </c>
      <c r="I167" s="19"/>
      <c r="J167" s="20"/>
    </row>
    <row r="168" ht="15.75" customHeight="1">
      <c r="A168" s="19" t="s">
        <v>13</v>
      </c>
      <c r="B168" s="19" t="s">
        <v>375</v>
      </c>
      <c r="C168" s="19" t="s">
        <v>687</v>
      </c>
      <c r="D168" s="19" t="s">
        <v>676</v>
      </c>
      <c r="E168" s="20" t="s">
        <v>688</v>
      </c>
      <c r="F168" s="37" t="s">
        <v>291</v>
      </c>
      <c r="G168" s="23" t="s">
        <v>678</v>
      </c>
      <c r="H168" s="24" t="s">
        <v>23</v>
      </c>
      <c r="I168" s="19"/>
      <c r="J168" s="20"/>
    </row>
    <row r="169" ht="15.75" customHeight="1">
      <c r="A169" s="19" t="s">
        <v>13</v>
      </c>
      <c r="B169" s="19" t="s">
        <v>377</v>
      </c>
      <c r="C169" s="19" t="s">
        <v>689</v>
      </c>
      <c r="D169" s="19" t="s">
        <v>676</v>
      </c>
      <c r="E169" s="20" t="s">
        <v>690</v>
      </c>
      <c r="F169" s="22" t="s">
        <v>45</v>
      </c>
      <c r="G169" s="23" t="s">
        <v>48</v>
      </c>
      <c r="H169" s="24" t="s">
        <v>23</v>
      </c>
      <c r="I169" s="19"/>
      <c r="J169" s="20"/>
    </row>
    <row r="170" ht="15.75" customHeight="1">
      <c r="A170" s="19" t="s">
        <v>13</v>
      </c>
      <c r="B170" s="19" t="s">
        <v>379</v>
      </c>
      <c r="C170" s="19" t="s">
        <v>691</v>
      </c>
      <c r="D170" s="19" t="s">
        <v>676</v>
      </c>
      <c r="E170" s="20" t="s">
        <v>692</v>
      </c>
      <c r="F170" s="22" t="s">
        <v>45</v>
      </c>
      <c r="G170" s="23" t="s">
        <v>48</v>
      </c>
      <c r="H170" s="24" t="s">
        <v>23</v>
      </c>
      <c r="I170" s="19"/>
      <c r="J170" s="20"/>
    </row>
    <row r="171" ht="15.75" customHeight="1">
      <c r="A171" s="19" t="s">
        <v>13</v>
      </c>
      <c r="B171" s="19" t="s">
        <v>380</v>
      </c>
      <c r="C171" s="19" t="s">
        <v>693</v>
      </c>
      <c r="D171" s="19" t="s">
        <v>676</v>
      </c>
      <c r="E171" s="20" t="s">
        <v>694</v>
      </c>
      <c r="F171" s="22" t="s">
        <v>45</v>
      </c>
      <c r="G171" s="23" t="s">
        <v>48</v>
      </c>
      <c r="H171" s="24" t="s">
        <v>23</v>
      </c>
      <c r="I171" s="19"/>
      <c r="J171" s="20"/>
    </row>
    <row r="172" ht="15.75" customHeight="1">
      <c r="A172" s="19" t="s">
        <v>13</v>
      </c>
      <c r="B172" s="19" t="s">
        <v>383</v>
      </c>
      <c r="C172" s="19" t="s">
        <v>695</v>
      </c>
      <c r="D172" s="19" t="s">
        <v>676</v>
      </c>
      <c r="E172" s="20" t="s">
        <v>696</v>
      </c>
      <c r="F172" s="37" t="s">
        <v>291</v>
      </c>
      <c r="G172" s="23" t="s">
        <v>678</v>
      </c>
      <c r="H172" s="24" t="s">
        <v>23</v>
      </c>
      <c r="I172" s="19"/>
      <c r="J172" s="20"/>
    </row>
    <row r="173" ht="15.75" customHeight="1">
      <c r="A173" s="19" t="s">
        <v>13</v>
      </c>
      <c r="B173" s="19" t="s">
        <v>384</v>
      </c>
      <c r="C173" s="19" t="s">
        <v>697</v>
      </c>
      <c r="D173" s="19" t="s">
        <v>676</v>
      </c>
      <c r="E173" s="20" t="s">
        <v>698</v>
      </c>
      <c r="F173" s="37" t="s">
        <v>291</v>
      </c>
      <c r="G173" s="23" t="s">
        <v>678</v>
      </c>
      <c r="H173" s="24" t="s">
        <v>23</v>
      </c>
      <c r="I173" s="19"/>
      <c r="J173" s="20"/>
    </row>
    <row r="174" ht="15.75" customHeight="1">
      <c r="A174" s="19" t="s">
        <v>13</v>
      </c>
      <c r="B174" s="19" t="s">
        <v>388</v>
      </c>
      <c r="C174" s="19" t="s">
        <v>699</v>
      </c>
      <c r="D174" s="19" t="s">
        <v>676</v>
      </c>
      <c r="E174" s="20" t="s">
        <v>700</v>
      </c>
      <c r="F174" s="37" t="s">
        <v>291</v>
      </c>
      <c r="G174" s="23" t="s">
        <v>678</v>
      </c>
      <c r="H174" s="24" t="s">
        <v>23</v>
      </c>
      <c r="I174" s="19"/>
      <c r="J174" s="20"/>
    </row>
    <row r="175" ht="15.75" customHeight="1">
      <c r="A175" s="19" t="s">
        <v>13</v>
      </c>
      <c r="B175" s="19" t="s">
        <v>389</v>
      </c>
      <c r="C175" s="19" t="s">
        <v>701</v>
      </c>
      <c r="D175" s="19" t="s">
        <v>676</v>
      </c>
      <c r="E175" s="20" t="s">
        <v>702</v>
      </c>
      <c r="F175" s="37" t="s">
        <v>291</v>
      </c>
      <c r="G175" s="23" t="s">
        <v>678</v>
      </c>
      <c r="H175" s="24" t="s">
        <v>23</v>
      </c>
      <c r="I175" s="19"/>
      <c r="J175" s="20"/>
    </row>
    <row r="176" ht="15.75" customHeight="1">
      <c r="A176" s="19" t="s">
        <v>13</v>
      </c>
      <c r="B176" s="19" t="s">
        <v>555</v>
      </c>
      <c r="C176" s="19" t="s">
        <v>703</v>
      </c>
      <c r="D176" s="19" t="s">
        <v>676</v>
      </c>
      <c r="E176" s="20" t="s">
        <v>704</v>
      </c>
      <c r="F176" s="37" t="s">
        <v>291</v>
      </c>
      <c r="G176" s="23" t="s">
        <v>678</v>
      </c>
      <c r="H176" s="24" t="s">
        <v>23</v>
      </c>
      <c r="I176" s="19"/>
      <c r="J176" s="20"/>
    </row>
    <row r="177" ht="15.75" customHeight="1">
      <c r="A177" s="11" t="s">
        <v>13</v>
      </c>
      <c r="B177" s="11" t="s">
        <v>393</v>
      </c>
      <c r="C177" s="11" t="s">
        <v>705</v>
      </c>
      <c r="D177" s="11" t="s">
        <v>706</v>
      </c>
      <c r="E177" s="14" t="s">
        <v>707</v>
      </c>
      <c r="F177" s="37" t="s">
        <v>291</v>
      </c>
      <c r="G177" s="17" t="s">
        <v>708</v>
      </c>
      <c r="H177" s="24" t="s">
        <v>23</v>
      </c>
      <c r="I177" s="11"/>
      <c r="J177" s="14"/>
    </row>
    <row r="178" ht="15.75" customHeight="1">
      <c r="A178" s="11" t="s">
        <v>13</v>
      </c>
      <c r="B178" s="11" t="s">
        <v>396</v>
      </c>
      <c r="C178" s="11" t="s">
        <v>709</v>
      </c>
      <c r="D178" s="11" t="s">
        <v>706</v>
      </c>
      <c r="E178" s="14" t="s">
        <v>710</v>
      </c>
      <c r="F178" s="22" t="s">
        <v>45</v>
      </c>
      <c r="G178" s="17" t="s">
        <v>711</v>
      </c>
      <c r="H178" s="24" t="s">
        <v>23</v>
      </c>
      <c r="I178" s="11"/>
      <c r="J178" s="14"/>
    </row>
    <row r="179" ht="15.75" customHeight="1">
      <c r="A179" s="11" t="s">
        <v>13</v>
      </c>
      <c r="B179" s="11" t="s">
        <v>400</v>
      </c>
      <c r="C179" s="11" t="s">
        <v>712</v>
      </c>
      <c r="D179" s="11" t="s">
        <v>706</v>
      </c>
      <c r="E179" s="14" t="s">
        <v>713</v>
      </c>
      <c r="F179" s="22" t="s">
        <v>45</v>
      </c>
      <c r="G179" s="17" t="s">
        <v>711</v>
      </c>
      <c r="H179" s="24" t="s">
        <v>23</v>
      </c>
      <c r="I179" s="11"/>
      <c r="J179" s="14"/>
    </row>
    <row r="180" ht="15.75" customHeight="1">
      <c r="A180" s="11" t="s">
        <v>13</v>
      </c>
      <c r="B180" s="11" t="s">
        <v>402</v>
      </c>
      <c r="C180" s="11" t="s">
        <v>714</v>
      </c>
      <c r="D180" s="11" t="s">
        <v>706</v>
      </c>
      <c r="E180" s="14" t="s">
        <v>715</v>
      </c>
      <c r="F180" s="30" t="s">
        <v>88</v>
      </c>
      <c r="G180" s="17" t="s">
        <v>716</v>
      </c>
      <c r="H180" s="24" t="s">
        <v>23</v>
      </c>
      <c r="I180" s="11"/>
      <c r="J180" s="14"/>
    </row>
    <row r="181" ht="15.75" customHeight="1">
      <c r="A181" s="11" t="s">
        <v>13</v>
      </c>
      <c r="B181" s="11" t="s">
        <v>405</v>
      </c>
      <c r="C181" s="11" t="s">
        <v>717</v>
      </c>
      <c r="D181" s="11" t="s">
        <v>706</v>
      </c>
      <c r="E181" s="14" t="s">
        <v>718</v>
      </c>
      <c r="F181" s="30" t="s">
        <v>88</v>
      </c>
      <c r="G181" s="17" t="s">
        <v>716</v>
      </c>
      <c r="H181" s="24" t="s">
        <v>23</v>
      </c>
      <c r="I181" s="11"/>
      <c r="J181" s="14"/>
    </row>
    <row r="182" ht="15.75" customHeight="1">
      <c r="A182" s="11" t="s">
        <v>13</v>
      </c>
      <c r="B182" s="11" t="s">
        <v>408</v>
      </c>
      <c r="C182" s="11" t="s">
        <v>719</v>
      </c>
      <c r="D182" s="11" t="s">
        <v>706</v>
      </c>
      <c r="E182" s="14" t="s">
        <v>720</v>
      </c>
      <c r="F182" s="30" t="s">
        <v>88</v>
      </c>
      <c r="G182" s="17" t="s">
        <v>716</v>
      </c>
      <c r="H182" s="24" t="s">
        <v>23</v>
      </c>
      <c r="I182" s="11"/>
      <c r="J182" s="14"/>
    </row>
    <row r="183" ht="15.75" customHeight="1">
      <c r="A183" s="11" t="s">
        <v>13</v>
      </c>
      <c r="B183" s="11" t="s">
        <v>410</v>
      </c>
      <c r="C183" s="11" t="s">
        <v>721</v>
      </c>
      <c r="D183" s="11" t="s">
        <v>706</v>
      </c>
      <c r="E183" s="14" t="s">
        <v>722</v>
      </c>
      <c r="F183" s="30" t="s">
        <v>88</v>
      </c>
      <c r="G183" s="17" t="s">
        <v>716</v>
      </c>
      <c r="H183" s="24" t="s">
        <v>23</v>
      </c>
      <c r="I183" s="11"/>
      <c r="J183" s="14"/>
    </row>
    <row r="184" ht="15.75" customHeight="1">
      <c r="A184" s="11" t="s">
        <v>13</v>
      </c>
      <c r="B184" s="11" t="s">
        <v>414</v>
      </c>
      <c r="C184" s="11" t="s">
        <v>723</v>
      </c>
      <c r="D184" s="11" t="s">
        <v>706</v>
      </c>
      <c r="E184" s="14" t="s">
        <v>724</v>
      </c>
      <c r="F184" s="30" t="s">
        <v>88</v>
      </c>
      <c r="G184" s="17" t="s">
        <v>716</v>
      </c>
      <c r="H184" s="24" t="s">
        <v>23</v>
      </c>
      <c r="I184" s="11"/>
      <c r="J184" s="14"/>
    </row>
    <row r="185" ht="15.75" customHeight="1">
      <c r="A185" s="11" t="s">
        <v>13</v>
      </c>
      <c r="B185" s="52" t="s">
        <v>416</v>
      </c>
      <c r="C185" s="52" t="s">
        <v>725</v>
      </c>
      <c r="D185" s="11" t="s">
        <v>706</v>
      </c>
      <c r="E185" s="14" t="s">
        <v>726</v>
      </c>
      <c r="F185" s="30" t="s">
        <v>88</v>
      </c>
      <c r="G185" s="17" t="s">
        <v>727</v>
      </c>
      <c r="H185" s="24" t="s">
        <v>23</v>
      </c>
      <c r="I185" s="53" t="s">
        <v>46</v>
      </c>
      <c r="J185" s="14" t="s">
        <v>728</v>
      </c>
    </row>
    <row r="186" ht="15.75" customHeight="1">
      <c r="A186" s="11" t="s">
        <v>13</v>
      </c>
      <c r="B186" s="11" t="s">
        <v>419</v>
      </c>
      <c r="C186" s="11" t="s">
        <v>729</v>
      </c>
      <c r="D186" s="11" t="s">
        <v>706</v>
      </c>
      <c r="E186" s="14" t="s">
        <v>730</v>
      </c>
      <c r="F186" s="30" t="s">
        <v>88</v>
      </c>
      <c r="G186" s="17" t="s">
        <v>727</v>
      </c>
      <c r="H186" s="24" t="s">
        <v>23</v>
      </c>
      <c r="I186" s="11"/>
      <c r="J186" s="14"/>
    </row>
    <row r="187" ht="15.75" customHeight="1">
      <c r="A187" s="11" t="s">
        <v>13</v>
      </c>
      <c r="B187" s="11" t="s">
        <v>421</v>
      </c>
      <c r="C187" s="11" t="s">
        <v>731</v>
      </c>
      <c r="D187" s="11" t="s">
        <v>706</v>
      </c>
      <c r="E187" s="14" t="s">
        <v>732</v>
      </c>
      <c r="F187" s="30" t="s">
        <v>88</v>
      </c>
      <c r="G187" s="17" t="s">
        <v>727</v>
      </c>
      <c r="H187" s="24" t="s">
        <v>23</v>
      </c>
      <c r="I187" s="11"/>
      <c r="J187" s="14"/>
    </row>
    <row r="188" ht="15.75" customHeight="1">
      <c r="A188" s="11" t="s">
        <v>13</v>
      </c>
      <c r="B188" s="11" t="s">
        <v>423</v>
      </c>
      <c r="C188" s="11" t="s">
        <v>733</v>
      </c>
      <c r="D188" s="11" t="s">
        <v>706</v>
      </c>
      <c r="E188" s="14" t="s">
        <v>734</v>
      </c>
      <c r="F188" s="30" t="s">
        <v>88</v>
      </c>
      <c r="G188" s="17" t="s">
        <v>727</v>
      </c>
      <c r="H188" s="24" t="s">
        <v>23</v>
      </c>
      <c r="I188" s="11"/>
      <c r="J188" s="14"/>
    </row>
    <row r="189" ht="15.75" customHeight="1">
      <c r="A189" s="11" t="s">
        <v>13</v>
      </c>
      <c r="B189" s="11" t="s">
        <v>425</v>
      </c>
      <c r="C189" s="11" t="s">
        <v>735</v>
      </c>
      <c r="D189" s="11" t="s">
        <v>706</v>
      </c>
      <c r="E189" s="14" t="s">
        <v>736</v>
      </c>
      <c r="F189" s="30" t="s">
        <v>88</v>
      </c>
      <c r="G189" s="17" t="s">
        <v>727</v>
      </c>
      <c r="H189" s="24" t="s">
        <v>23</v>
      </c>
      <c r="I189" s="11"/>
      <c r="J189" s="14"/>
    </row>
    <row r="190" ht="15.75" customHeight="1">
      <c r="A190" s="11" t="s">
        <v>13</v>
      </c>
      <c r="B190" s="11" t="s">
        <v>426</v>
      </c>
      <c r="C190" s="11" t="s">
        <v>737</v>
      </c>
      <c r="D190" s="11" t="s">
        <v>706</v>
      </c>
      <c r="E190" s="14" t="s">
        <v>738</v>
      </c>
      <c r="F190" s="30" t="s">
        <v>88</v>
      </c>
      <c r="G190" s="17" t="s">
        <v>727</v>
      </c>
      <c r="H190" s="24" t="s">
        <v>23</v>
      </c>
      <c r="I190" s="11"/>
      <c r="J190" s="14"/>
    </row>
    <row r="191" ht="15.75" customHeight="1">
      <c r="A191" s="11" t="s">
        <v>13</v>
      </c>
      <c r="B191" s="11" t="s">
        <v>516</v>
      </c>
      <c r="C191" s="11" t="s">
        <v>739</v>
      </c>
      <c r="D191" s="11" t="s">
        <v>706</v>
      </c>
      <c r="E191" s="14" t="s">
        <v>740</v>
      </c>
      <c r="F191" s="30" t="s">
        <v>88</v>
      </c>
      <c r="G191" s="17" t="s">
        <v>716</v>
      </c>
      <c r="H191" s="24" t="s">
        <v>23</v>
      </c>
      <c r="I191" s="11"/>
      <c r="J191" s="14"/>
    </row>
    <row r="192" ht="15.75" customHeight="1">
      <c r="A192" s="11" t="s">
        <v>13</v>
      </c>
      <c r="B192" s="11" t="s">
        <v>520</v>
      </c>
      <c r="C192" s="11" t="s">
        <v>741</v>
      </c>
      <c r="D192" s="11" t="s">
        <v>706</v>
      </c>
      <c r="E192" s="14" t="s">
        <v>742</v>
      </c>
      <c r="F192" s="30" t="s">
        <v>88</v>
      </c>
      <c r="G192" s="17" t="s">
        <v>727</v>
      </c>
      <c r="H192" s="24" t="s">
        <v>23</v>
      </c>
      <c r="I192" s="11"/>
      <c r="J192" s="14"/>
    </row>
    <row r="193" ht="15.75" customHeight="1">
      <c r="A193" s="11" t="s">
        <v>13</v>
      </c>
      <c r="B193" s="11" t="s">
        <v>521</v>
      </c>
      <c r="C193" s="11" t="s">
        <v>743</v>
      </c>
      <c r="D193" s="11" t="s">
        <v>706</v>
      </c>
      <c r="E193" s="14" t="s">
        <v>744</v>
      </c>
      <c r="F193" s="30" t="s">
        <v>88</v>
      </c>
      <c r="G193" s="17" t="s">
        <v>727</v>
      </c>
      <c r="H193" s="24" t="s">
        <v>23</v>
      </c>
      <c r="I193" s="11"/>
      <c r="J193" s="14"/>
    </row>
    <row r="194" ht="15.75" customHeight="1">
      <c r="A194" s="11" t="s">
        <v>13</v>
      </c>
      <c r="B194" s="11" t="s">
        <v>525</v>
      </c>
      <c r="C194" s="11" t="s">
        <v>745</v>
      </c>
      <c r="D194" s="11" t="s">
        <v>706</v>
      </c>
      <c r="E194" s="14" t="s">
        <v>746</v>
      </c>
      <c r="F194" s="30" t="s">
        <v>88</v>
      </c>
      <c r="G194" s="17" t="s">
        <v>727</v>
      </c>
      <c r="H194" s="24" t="s">
        <v>23</v>
      </c>
      <c r="I194" s="11"/>
      <c r="J194" s="14"/>
    </row>
    <row r="195" ht="15.75" customHeight="1">
      <c r="A195" s="11" t="s">
        <v>13</v>
      </c>
      <c r="B195" s="11" t="s">
        <v>571</v>
      </c>
      <c r="C195" s="11" t="s">
        <v>748</v>
      </c>
      <c r="D195" s="11" t="s">
        <v>706</v>
      </c>
      <c r="E195" s="14" t="s">
        <v>749</v>
      </c>
      <c r="F195" s="30" t="s">
        <v>88</v>
      </c>
      <c r="G195" s="17" t="s">
        <v>716</v>
      </c>
      <c r="H195" s="24" t="s">
        <v>23</v>
      </c>
      <c r="I195" s="11"/>
      <c r="J195" s="14"/>
    </row>
    <row r="196" ht="15.75" customHeight="1">
      <c r="A196" s="11" t="s">
        <v>13</v>
      </c>
      <c r="B196" s="11" t="s">
        <v>575</v>
      </c>
      <c r="C196" s="11" t="s">
        <v>750</v>
      </c>
      <c r="D196" s="11" t="s">
        <v>706</v>
      </c>
      <c r="E196" s="14" t="s">
        <v>751</v>
      </c>
      <c r="F196" s="30" t="s">
        <v>88</v>
      </c>
      <c r="G196" s="17" t="s">
        <v>727</v>
      </c>
      <c r="H196" s="24" t="s">
        <v>23</v>
      </c>
      <c r="I196" s="11"/>
      <c r="J196" s="14"/>
    </row>
    <row r="197" ht="15.75" customHeight="1">
      <c r="A197" s="19" t="s">
        <v>13</v>
      </c>
      <c r="B197" s="19" t="s">
        <v>429</v>
      </c>
      <c r="C197" s="19" t="s">
        <v>752</v>
      </c>
      <c r="D197" s="19" t="s">
        <v>753</v>
      </c>
      <c r="E197" s="20" t="s">
        <v>754</v>
      </c>
      <c r="F197" s="22" t="s">
        <v>45</v>
      </c>
      <c r="G197" s="23" t="s">
        <v>48</v>
      </c>
      <c r="H197" s="24" t="s">
        <v>23</v>
      </c>
      <c r="I197" s="19"/>
      <c r="J197" s="20"/>
    </row>
    <row r="198" ht="15.75" customHeight="1">
      <c r="A198" s="19" t="s">
        <v>13</v>
      </c>
      <c r="B198" s="19" t="s">
        <v>430</v>
      </c>
      <c r="C198" s="19" t="s">
        <v>755</v>
      </c>
      <c r="D198" s="19" t="s">
        <v>753</v>
      </c>
      <c r="E198" s="20" t="s">
        <v>756</v>
      </c>
      <c r="F198" s="30" t="s">
        <v>88</v>
      </c>
      <c r="G198" s="23" t="s">
        <v>757</v>
      </c>
      <c r="H198" s="24" t="s">
        <v>23</v>
      </c>
      <c r="I198" s="19"/>
      <c r="J198" s="20"/>
    </row>
    <row r="199" ht="15.75" customHeight="1">
      <c r="A199" s="19" t="s">
        <v>13</v>
      </c>
      <c r="B199" s="19" t="s">
        <v>433</v>
      </c>
      <c r="C199" s="19" t="s">
        <v>758</v>
      </c>
      <c r="D199" s="19" t="s">
        <v>753</v>
      </c>
      <c r="E199" s="20" t="s">
        <v>759</v>
      </c>
      <c r="F199" s="30" t="s">
        <v>88</v>
      </c>
      <c r="G199" s="23" t="s">
        <v>757</v>
      </c>
      <c r="H199" s="24" t="s">
        <v>23</v>
      </c>
      <c r="I199" s="19"/>
      <c r="J199" s="20"/>
    </row>
    <row r="200" ht="15.75" customHeight="1">
      <c r="A200" s="19" t="s">
        <v>13</v>
      </c>
      <c r="B200" s="19" t="s">
        <v>434</v>
      </c>
      <c r="C200" s="19" t="s">
        <v>760</v>
      </c>
      <c r="D200" s="19" t="s">
        <v>753</v>
      </c>
      <c r="E200" s="20" t="s">
        <v>761</v>
      </c>
      <c r="F200" s="37" t="s">
        <v>291</v>
      </c>
      <c r="G200" s="23" t="s">
        <v>762</v>
      </c>
      <c r="H200" s="24" t="s">
        <v>23</v>
      </c>
      <c r="I200" s="19"/>
      <c r="J200" s="20"/>
    </row>
    <row r="201" ht="15.75" customHeight="1">
      <c r="A201" s="19" t="s">
        <v>13</v>
      </c>
      <c r="B201" s="19" t="s">
        <v>437</v>
      </c>
      <c r="C201" s="19" t="s">
        <v>763</v>
      </c>
      <c r="D201" s="19" t="s">
        <v>753</v>
      </c>
      <c r="E201" s="20" t="s">
        <v>764</v>
      </c>
      <c r="F201" s="37" t="s">
        <v>291</v>
      </c>
      <c r="G201" s="23" t="s">
        <v>762</v>
      </c>
      <c r="H201" s="24" t="s">
        <v>23</v>
      </c>
      <c r="I201" s="19"/>
      <c r="J201" s="20"/>
    </row>
    <row r="202" ht="15.75" customHeight="1">
      <c r="A202" s="19" t="s">
        <v>13</v>
      </c>
      <c r="B202" s="54" t="s">
        <v>438</v>
      </c>
      <c r="C202" s="54" t="s">
        <v>765</v>
      </c>
      <c r="D202" s="19" t="s">
        <v>753</v>
      </c>
      <c r="E202" s="20" t="s">
        <v>766</v>
      </c>
      <c r="F202" s="37" t="s">
        <v>291</v>
      </c>
      <c r="G202" s="23" t="s">
        <v>762</v>
      </c>
      <c r="H202" s="24" t="s">
        <v>23</v>
      </c>
      <c r="I202" s="55" t="s">
        <v>46</v>
      </c>
      <c r="J202" s="20" t="s">
        <v>767</v>
      </c>
    </row>
    <row r="203" ht="15.75" customHeight="1">
      <c r="A203" s="19" t="s">
        <v>13</v>
      </c>
      <c r="B203" s="19" t="s">
        <v>440</v>
      </c>
      <c r="C203" s="19" t="s">
        <v>768</v>
      </c>
      <c r="D203" s="19" t="s">
        <v>753</v>
      </c>
      <c r="E203" s="20" t="s">
        <v>769</v>
      </c>
      <c r="F203" s="37" t="s">
        <v>291</v>
      </c>
      <c r="G203" s="23" t="s">
        <v>762</v>
      </c>
      <c r="H203" s="24" t="s">
        <v>23</v>
      </c>
      <c r="I203" s="19"/>
      <c r="J203" s="20"/>
    </row>
    <row r="204" ht="15.75" customHeight="1">
      <c r="A204" s="19" t="s">
        <v>13</v>
      </c>
      <c r="B204" s="19" t="s">
        <v>443</v>
      </c>
      <c r="C204" s="19" t="s">
        <v>770</v>
      </c>
      <c r="D204" s="19" t="s">
        <v>753</v>
      </c>
      <c r="E204" s="20" t="s">
        <v>771</v>
      </c>
      <c r="F204" s="37" t="s">
        <v>291</v>
      </c>
      <c r="G204" s="23" t="s">
        <v>762</v>
      </c>
      <c r="H204" s="24" t="s">
        <v>23</v>
      </c>
      <c r="I204" s="19"/>
      <c r="J204" s="20"/>
    </row>
    <row r="205" ht="15.75" customHeight="1">
      <c r="A205" s="19" t="s">
        <v>13</v>
      </c>
      <c r="B205" s="19" t="s">
        <v>448</v>
      </c>
      <c r="C205" s="19" t="s">
        <v>772</v>
      </c>
      <c r="D205" s="19" t="s">
        <v>753</v>
      </c>
      <c r="E205" s="20" t="s">
        <v>773</v>
      </c>
      <c r="F205" s="37" t="s">
        <v>291</v>
      </c>
      <c r="G205" s="23" t="s">
        <v>762</v>
      </c>
      <c r="H205" s="24" t="s">
        <v>23</v>
      </c>
      <c r="I205" s="19"/>
      <c r="J205" s="20"/>
    </row>
    <row r="206" ht="15.75" customHeight="1">
      <c r="A206" s="19" t="s">
        <v>13</v>
      </c>
      <c r="B206" s="54" t="s">
        <v>451</v>
      </c>
      <c r="C206" s="54" t="s">
        <v>774</v>
      </c>
      <c r="D206" s="19" t="s">
        <v>753</v>
      </c>
      <c r="E206" s="20" t="s">
        <v>775</v>
      </c>
      <c r="F206" s="30" t="s">
        <v>88</v>
      </c>
      <c r="G206" s="23" t="s">
        <v>776</v>
      </c>
      <c r="H206" s="24" t="s">
        <v>23</v>
      </c>
      <c r="I206" s="55" t="s">
        <v>46</v>
      </c>
      <c r="J206" s="20" t="s">
        <v>777</v>
      </c>
    </row>
    <row r="207" ht="15.75" customHeight="1">
      <c r="A207" s="19" t="s">
        <v>13</v>
      </c>
      <c r="B207" s="19" t="s">
        <v>509</v>
      </c>
      <c r="C207" s="19" t="s">
        <v>778</v>
      </c>
      <c r="D207" s="19" t="s">
        <v>753</v>
      </c>
      <c r="E207" s="20" t="s">
        <v>779</v>
      </c>
      <c r="F207" s="22" t="s">
        <v>45</v>
      </c>
      <c r="G207" s="23" t="s">
        <v>48</v>
      </c>
      <c r="H207" s="24" t="s">
        <v>23</v>
      </c>
      <c r="I207" s="19"/>
      <c r="J207" s="20"/>
    </row>
    <row r="208" ht="15.75" customHeight="1">
      <c r="A208" s="19" t="s">
        <v>13</v>
      </c>
      <c r="B208" s="19" t="s">
        <v>514</v>
      </c>
      <c r="C208" s="19" t="s">
        <v>780</v>
      </c>
      <c r="D208" s="19" t="s">
        <v>753</v>
      </c>
      <c r="E208" s="20" t="s">
        <v>781</v>
      </c>
      <c r="F208" s="22" t="s">
        <v>45</v>
      </c>
      <c r="G208" s="23" t="s">
        <v>48</v>
      </c>
      <c r="H208" s="24" t="s">
        <v>23</v>
      </c>
      <c r="I208" s="19"/>
      <c r="J208" s="20"/>
    </row>
    <row r="209" ht="15.75" customHeight="1">
      <c r="A209" s="19" t="s">
        <v>13</v>
      </c>
      <c r="B209" s="19" t="s">
        <v>557</v>
      </c>
      <c r="C209" s="19" t="s">
        <v>782</v>
      </c>
      <c r="D209" s="19" t="s">
        <v>753</v>
      </c>
      <c r="E209" s="20" t="s">
        <v>783</v>
      </c>
      <c r="F209" s="37" t="s">
        <v>291</v>
      </c>
      <c r="G209" s="23" t="s">
        <v>762</v>
      </c>
      <c r="H209" s="24" t="s">
        <v>23</v>
      </c>
      <c r="I209" s="19"/>
      <c r="J209" s="20"/>
    </row>
    <row r="210" ht="15.75" customHeight="1">
      <c r="A210" s="19" t="s">
        <v>13</v>
      </c>
      <c r="B210" s="19" t="s">
        <v>558</v>
      </c>
      <c r="C210" s="19" t="s">
        <v>784</v>
      </c>
      <c r="D210" s="19" t="s">
        <v>753</v>
      </c>
      <c r="E210" s="20" t="s">
        <v>785</v>
      </c>
      <c r="F210" s="37" t="s">
        <v>291</v>
      </c>
      <c r="G210" s="23" t="s">
        <v>762</v>
      </c>
      <c r="H210" s="24" t="s">
        <v>23</v>
      </c>
      <c r="I210" s="19"/>
      <c r="J210" s="20"/>
    </row>
    <row r="211" ht="15.75" customHeight="1">
      <c r="A211" s="19" t="s">
        <v>13</v>
      </c>
      <c r="B211" s="19" t="s">
        <v>561</v>
      </c>
      <c r="C211" s="19" t="s">
        <v>786</v>
      </c>
      <c r="D211" s="19" t="s">
        <v>753</v>
      </c>
      <c r="E211" s="20" t="s">
        <v>787</v>
      </c>
      <c r="F211" s="37" t="s">
        <v>291</v>
      </c>
      <c r="G211" s="23" t="s">
        <v>762</v>
      </c>
      <c r="H211" s="24" t="s">
        <v>23</v>
      </c>
      <c r="I211" s="19"/>
      <c r="J211" s="20"/>
    </row>
    <row r="212" ht="15.75" customHeight="1">
      <c r="A212" s="19" t="s">
        <v>13</v>
      </c>
      <c r="B212" s="54" t="s">
        <v>570</v>
      </c>
      <c r="C212" s="54" t="s">
        <v>788</v>
      </c>
      <c r="D212" s="19" t="s">
        <v>753</v>
      </c>
      <c r="E212" s="20" t="s">
        <v>789</v>
      </c>
      <c r="F212" s="37" t="s">
        <v>291</v>
      </c>
      <c r="G212" s="23" t="s">
        <v>762</v>
      </c>
      <c r="H212" s="24" t="s">
        <v>23</v>
      </c>
      <c r="I212" s="55" t="s">
        <v>46</v>
      </c>
      <c r="J212" s="20" t="s">
        <v>790</v>
      </c>
    </row>
    <row r="213" ht="15.75" customHeight="1">
      <c r="A213" s="11" t="s">
        <v>13</v>
      </c>
      <c r="B213" s="11" t="s">
        <v>454</v>
      </c>
      <c r="C213" s="11" t="s">
        <v>791</v>
      </c>
      <c r="D213" s="11" t="s">
        <v>792</v>
      </c>
      <c r="E213" s="14" t="s">
        <v>793</v>
      </c>
      <c r="F213" s="37" t="s">
        <v>291</v>
      </c>
      <c r="G213" s="17" t="s">
        <v>794</v>
      </c>
      <c r="H213" s="24" t="s">
        <v>23</v>
      </c>
      <c r="I213" s="11"/>
      <c r="J213" s="14"/>
    </row>
    <row r="214" ht="15.75" customHeight="1">
      <c r="A214" s="11" t="s">
        <v>13</v>
      </c>
      <c r="B214" s="11" t="s">
        <v>456</v>
      </c>
      <c r="C214" s="11" t="s">
        <v>795</v>
      </c>
      <c r="D214" s="11" t="s">
        <v>792</v>
      </c>
      <c r="E214" s="14" t="s">
        <v>796</v>
      </c>
      <c r="F214" s="37" t="s">
        <v>291</v>
      </c>
      <c r="G214" s="17" t="s">
        <v>794</v>
      </c>
      <c r="H214" s="24" t="s">
        <v>23</v>
      </c>
      <c r="I214" s="11"/>
      <c r="J214" s="14"/>
    </row>
    <row r="215" ht="15.75" customHeight="1">
      <c r="A215" s="11" t="s">
        <v>13</v>
      </c>
      <c r="B215" s="52" t="s">
        <v>459</v>
      </c>
      <c r="C215" s="52" t="s">
        <v>797</v>
      </c>
      <c r="D215" s="11" t="s">
        <v>792</v>
      </c>
      <c r="E215" s="14" t="s">
        <v>798</v>
      </c>
      <c r="F215" s="37" t="s">
        <v>291</v>
      </c>
      <c r="G215" s="17" t="s">
        <v>794</v>
      </c>
      <c r="H215" s="24" t="s">
        <v>23</v>
      </c>
      <c r="I215" s="53" t="s">
        <v>46</v>
      </c>
      <c r="J215" s="14" t="s">
        <v>799</v>
      </c>
    </row>
    <row r="216" ht="15.75" customHeight="1">
      <c r="A216" s="11" t="s">
        <v>13</v>
      </c>
      <c r="B216" s="11" t="s">
        <v>462</v>
      </c>
      <c r="C216" s="11" t="s">
        <v>800</v>
      </c>
      <c r="D216" s="11" t="s">
        <v>792</v>
      </c>
      <c r="E216" s="14" t="s">
        <v>801</v>
      </c>
      <c r="F216" s="37" t="s">
        <v>291</v>
      </c>
      <c r="G216" s="17" t="s">
        <v>794</v>
      </c>
      <c r="H216" s="24" t="s">
        <v>23</v>
      </c>
      <c r="I216" s="11"/>
      <c r="J216" s="14"/>
    </row>
    <row r="217" ht="15.75" customHeight="1">
      <c r="A217" s="11" t="s">
        <v>13</v>
      </c>
      <c r="B217" s="11" t="s">
        <v>465</v>
      </c>
      <c r="C217" s="11" t="s">
        <v>802</v>
      </c>
      <c r="D217" s="11" t="s">
        <v>792</v>
      </c>
      <c r="E217" s="14" t="s">
        <v>803</v>
      </c>
      <c r="F217" s="37" t="s">
        <v>291</v>
      </c>
      <c r="G217" s="17" t="s">
        <v>794</v>
      </c>
      <c r="H217" s="24" t="s">
        <v>23</v>
      </c>
      <c r="I217" s="11"/>
      <c r="J217" s="14"/>
    </row>
    <row r="218" ht="15.75" customHeight="1">
      <c r="A218" s="11" t="s">
        <v>13</v>
      </c>
      <c r="B218" s="11" t="s">
        <v>468</v>
      </c>
      <c r="C218" s="11" t="s">
        <v>804</v>
      </c>
      <c r="D218" s="11" t="s">
        <v>792</v>
      </c>
      <c r="E218" s="14" t="s">
        <v>805</v>
      </c>
      <c r="F218" s="37" t="s">
        <v>291</v>
      </c>
      <c r="G218" s="17" t="s">
        <v>794</v>
      </c>
      <c r="H218" s="24" t="s">
        <v>23</v>
      </c>
      <c r="I218" s="11"/>
      <c r="J218" s="14"/>
    </row>
    <row r="219" ht="15.75" customHeight="1">
      <c r="A219" s="11" t="s">
        <v>13</v>
      </c>
      <c r="B219" s="11" t="s">
        <v>471</v>
      </c>
      <c r="C219" s="11" t="s">
        <v>806</v>
      </c>
      <c r="D219" s="11" t="s">
        <v>792</v>
      </c>
      <c r="E219" s="14" t="s">
        <v>807</v>
      </c>
      <c r="F219" s="37" t="s">
        <v>291</v>
      </c>
      <c r="G219" s="17" t="s">
        <v>794</v>
      </c>
      <c r="H219" s="24" t="s">
        <v>23</v>
      </c>
      <c r="I219" s="11"/>
      <c r="J219" s="14"/>
    </row>
    <row r="220" ht="15.75" customHeight="1">
      <c r="A220" s="11" t="s">
        <v>13</v>
      </c>
      <c r="B220" s="11" t="s">
        <v>473</v>
      </c>
      <c r="C220" s="11" t="s">
        <v>808</v>
      </c>
      <c r="D220" s="11" t="s">
        <v>792</v>
      </c>
      <c r="E220" s="14" t="s">
        <v>809</v>
      </c>
      <c r="F220" s="37" t="s">
        <v>291</v>
      </c>
      <c r="G220" s="17" t="s">
        <v>794</v>
      </c>
      <c r="H220" s="24" t="s">
        <v>23</v>
      </c>
      <c r="I220" s="11"/>
      <c r="J220" s="14"/>
    </row>
    <row r="221" ht="15.75" customHeight="1">
      <c r="A221" s="19" t="s">
        <v>13</v>
      </c>
      <c r="B221" s="19" t="s">
        <v>481</v>
      </c>
      <c r="C221" s="19" t="s">
        <v>810</v>
      </c>
      <c r="D221" s="19" t="s">
        <v>811</v>
      </c>
      <c r="E221" s="20" t="s">
        <v>812</v>
      </c>
      <c r="F221" s="22" t="s">
        <v>45</v>
      </c>
      <c r="G221" s="23" t="s">
        <v>48</v>
      </c>
      <c r="H221" s="24" t="s">
        <v>23</v>
      </c>
      <c r="I221" s="19"/>
      <c r="J221" s="20"/>
    </row>
    <row r="222" ht="15.75" customHeight="1">
      <c r="A222" s="19" t="s">
        <v>13</v>
      </c>
      <c r="B222" s="19" t="s">
        <v>484</v>
      </c>
      <c r="C222" s="19" t="s">
        <v>813</v>
      </c>
      <c r="D222" s="19" t="s">
        <v>811</v>
      </c>
      <c r="E222" s="20" t="s">
        <v>814</v>
      </c>
      <c r="F222" s="22" t="s">
        <v>45</v>
      </c>
      <c r="G222" s="23" t="s">
        <v>48</v>
      </c>
      <c r="H222" s="24" t="s">
        <v>23</v>
      </c>
      <c r="I222" s="19"/>
      <c r="J222" s="20"/>
    </row>
    <row r="223" ht="15.75" customHeight="1">
      <c r="A223" s="19" t="s">
        <v>13</v>
      </c>
      <c r="B223" s="19" t="s">
        <v>486</v>
      </c>
      <c r="C223" s="19" t="s">
        <v>815</v>
      </c>
      <c r="D223" s="19" t="s">
        <v>811</v>
      </c>
      <c r="E223" s="20" t="s">
        <v>816</v>
      </c>
      <c r="F223" s="22" t="s">
        <v>45</v>
      </c>
      <c r="G223" s="23" t="s">
        <v>48</v>
      </c>
      <c r="H223" s="24" t="s">
        <v>23</v>
      </c>
      <c r="I223" s="19"/>
      <c r="J223" s="20"/>
    </row>
    <row r="224" ht="15.75" customHeight="1">
      <c r="A224" s="19" t="s">
        <v>13</v>
      </c>
      <c r="B224" s="19" t="s">
        <v>487</v>
      </c>
      <c r="C224" s="19" t="s">
        <v>817</v>
      </c>
      <c r="D224" s="19" t="s">
        <v>811</v>
      </c>
      <c r="E224" s="20" t="s">
        <v>818</v>
      </c>
      <c r="F224" s="22" t="s">
        <v>45</v>
      </c>
      <c r="G224" s="23" t="s">
        <v>48</v>
      </c>
      <c r="H224" s="24" t="s">
        <v>23</v>
      </c>
      <c r="I224" s="19"/>
      <c r="J224" s="20"/>
    </row>
    <row r="225" ht="15.75" customHeight="1">
      <c r="A225" s="19" t="s">
        <v>13</v>
      </c>
      <c r="B225" s="19" t="s">
        <v>490</v>
      </c>
      <c r="C225" s="19" t="s">
        <v>819</v>
      </c>
      <c r="D225" s="19" t="s">
        <v>811</v>
      </c>
      <c r="E225" s="20" t="s">
        <v>820</v>
      </c>
      <c r="F225" s="22" t="s">
        <v>45</v>
      </c>
      <c r="G225" s="23" t="s">
        <v>48</v>
      </c>
      <c r="H225" s="24" t="s">
        <v>23</v>
      </c>
      <c r="I225" s="19"/>
      <c r="J225" s="20"/>
    </row>
    <row r="226" ht="15.75" customHeight="1">
      <c r="A226" s="19" t="s">
        <v>13</v>
      </c>
      <c r="B226" s="19" t="s">
        <v>491</v>
      </c>
      <c r="C226" s="19" t="s">
        <v>821</v>
      </c>
      <c r="D226" s="19" t="s">
        <v>811</v>
      </c>
      <c r="E226" s="20" t="s">
        <v>822</v>
      </c>
      <c r="F226" s="22" t="s">
        <v>45</v>
      </c>
      <c r="G226" s="23" t="s">
        <v>48</v>
      </c>
      <c r="H226" s="24" t="s">
        <v>23</v>
      </c>
      <c r="I226" s="19"/>
      <c r="J226" s="20"/>
    </row>
    <row r="227" ht="15.75" customHeight="1">
      <c r="A227" s="11" t="s">
        <v>13</v>
      </c>
      <c r="B227" s="11" t="s">
        <v>492</v>
      </c>
      <c r="C227" s="11" t="s">
        <v>823</v>
      </c>
      <c r="D227" s="11" t="s">
        <v>824</v>
      </c>
      <c r="E227" s="14" t="s">
        <v>825</v>
      </c>
      <c r="F227" s="30" t="s">
        <v>88</v>
      </c>
      <c r="G227" s="17" t="s">
        <v>826</v>
      </c>
      <c r="H227" s="24" t="s">
        <v>23</v>
      </c>
      <c r="I227" s="11"/>
      <c r="J227" s="14"/>
    </row>
    <row r="228" ht="15.75" customHeight="1">
      <c r="A228" s="11" t="s">
        <v>13</v>
      </c>
      <c r="B228" s="11" t="s">
        <v>496</v>
      </c>
      <c r="C228" s="11" t="s">
        <v>827</v>
      </c>
      <c r="D228" s="11" t="s">
        <v>824</v>
      </c>
      <c r="E228" s="14" t="s">
        <v>828</v>
      </c>
      <c r="F228" s="30" t="s">
        <v>88</v>
      </c>
      <c r="G228" s="17" t="s">
        <v>826</v>
      </c>
      <c r="H228" s="24" t="s">
        <v>23</v>
      </c>
      <c r="I228" s="11"/>
      <c r="J228" s="14"/>
    </row>
    <row r="229" ht="15.75" customHeight="1">
      <c r="A229" s="11" t="s">
        <v>13</v>
      </c>
      <c r="B229" s="11" t="s">
        <v>499</v>
      </c>
      <c r="C229" s="11" t="s">
        <v>829</v>
      </c>
      <c r="D229" s="11" t="s">
        <v>824</v>
      </c>
      <c r="E229" s="14" t="s">
        <v>830</v>
      </c>
      <c r="F229" s="37" t="s">
        <v>291</v>
      </c>
      <c r="G229" s="17" t="s">
        <v>831</v>
      </c>
      <c r="H229" s="24" t="s">
        <v>23</v>
      </c>
      <c r="I229" s="11"/>
      <c r="J229" s="14"/>
    </row>
    <row r="230" ht="15.75" customHeight="1">
      <c r="A230" s="11" t="s">
        <v>13</v>
      </c>
      <c r="B230" s="11" t="s">
        <v>500</v>
      </c>
      <c r="C230" s="11" t="s">
        <v>832</v>
      </c>
      <c r="D230" s="11" t="s">
        <v>824</v>
      </c>
      <c r="E230" s="14" t="s">
        <v>833</v>
      </c>
      <c r="F230" s="37" t="s">
        <v>291</v>
      </c>
      <c r="G230" s="17" t="s">
        <v>831</v>
      </c>
      <c r="H230" s="24" t="s">
        <v>23</v>
      </c>
      <c r="I230" s="11"/>
      <c r="J230" s="14"/>
    </row>
    <row r="231" ht="15.75" customHeight="1">
      <c r="A231" s="19" t="s">
        <v>13</v>
      </c>
      <c r="B231" s="19" t="s">
        <v>475</v>
      </c>
      <c r="C231" s="19" t="s">
        <v>834</v>
      </c>
      <c r="D231" s="19" t="s">
        <v>835</v>
      </c>
      <c r="E231" s="20" t="s">
        <v>836</v>
      </c>
      <c r="F231" s="30" t="s">
        <v>88</v>
      </c>
      <c r="G231" s="23" t="s">
        <v>837</v>
      </c>
      <c r="H231" s="24" t="s">
        <v>23</v>
      </c>
      <c r="I231" s="19"/>
      <c r="J231" s="20"/>
    </row>
    <row r="232" ht="15.75" customHeight="1">
      <c r="A232" s="19" t="s">
        <v>13</v>
      </c>
      <c r="B232" s="19" t="s">
        <v>580</v>
      </c>
      <c r="C232" s="19" t="s">
        <v>838</v>
      </c>
      <c r="D232" s="19" t="s">
        <v>835</v>
      </c>
      <c r="E232" s="20" t="s">
        <v>839</v>
      </c>
      <c r="F232" s="30" t="s">
        <v>88</v>
      </c>
      <c r="G232" s="23" t="s">
        <v>837</v>
      </c>
      <c r="H232" s="24" t="s">
        <v>23</v>
      </c>
      <c r="I232" s="19"/>
      <c r="J232" s="20"/>
    </row>
    <row r="233" ht="15.75" customHeight="1">
      <c r="A233" s="19" t="s">
        <v>13</v>
      </c>
      <c r="B233" s="19" t="s">
        <v>581</v>
      </c>
      <c r="C233" s="19" t="s">
        <v>840</v>
      </c>
      <c r="D233" s="19" t="s">
        <v>835</v>
      </c>
      <c r="E233" s="20" t="s">
        <v>841</v>
      </c>
      <c r="F233" s="30" t="s">
        <v>88</v>
      </c>
      <c r="G233" s="23" t="s">
        <v>837</v>
      </c>
      <c r="H233" s="24" t="s">
        <v>23</v>
      </c>
      <c r="I233" s="19"/>
      <c r="J233" s="20"/>
    </row>
    <row r="234" ht="15.75" customHeight="1">
      <c r="A234" s="19" t="s">
        <v>13</v>
      </c>
      <c r="B234" s="19" t="s">
        <v>540</v>
      </c>
      <c r="C234" s="19" t="s">
        <v>842</v>
      </c>
      <c r="D234" s="19" t="s">
        <v>835</v>
      </c>
      <c r="E234" s="20" t="s">
        <v>843</v>
      </c>
      <c r="F234" s="30" t="s">
        <v>88</v>
      </c>
      <c r="G234" s="23" t="s">
        <v>837</v>
      </c>
      <c r="H234" s="24" t="s">
        <v>23</v>
      </c>
      <c r="I234" s="19"/>
      <c r="J234" s="20"/>
    </row>
    <row r="235" ht="15.75" customHeight="1">
      <c r="A235" s="19" t="s">
        <v>13</v>
      </c>
      <c r="B235" s="19" t="s">
        <v>542</v>
      </c>
      <c r="C235" s="19" t="s">
        <v>844</v>
      </c>
      <c r="D235" s="19" t="s">
        <v>835</v>
      </c>
      <c r="E235" s="20" t="s">
        <v>845</v>
      </c>
      <c r="F235" s="30" t="s">
        <v>88</v>
      </c>
      <c r="G235" s="23" t="s">
        <v>837</v>
      </c>
      <c r="H235" s="24" t="s">
        <v>23</v>
      </c>
      <c r="I235" s="19"/>
      <c r="J235" s="20"/>
    </row>
    <row r="236" ht="15.75" customHeight="1">
      <c r="A236" s="19" t="s">
        <v>13</v>
      </c>
      <c r="B236" s="19" t="s">
        <v>544</v>
      </c>
      <c r="C236" s="19" t="s">
        <v>846</v>
      </c>
      <c r="D236" s="19" t="s">
        <v>835</v>
      </c>
      <c r="E236" s="20" t="s">
        <v>847</v>
      </c>
      <c r="F236" s="30" t="s">
        <v>88</v>
      </c>
      <c r="G236" s="23" t="s">
        <v>837</v>
      </c>
      <c r="H236" s="24" t="s">
        <v>23</v>
      </c>
      <c r="I236" s="19"/>
      <c r="J236" s="20"/>
    </row>
    <row r="237" ht="15.75" customHeight="1">
      <c r="A237" s="11" t="s">
        <v>13</v>
      </c>
      <c r="B237" s="11" t="s">
        <v>585</v>
      </c>
      <c r="C237" s="11" t="s">
        <v>848</v>
      </c>
      <c r="D237" s="11" t="s">
        <v>849</v>
      </c>
      <c r="E237" s="14" t="s">
        <v>850</v>
      </c>
      <c r="F237" s="37" t="s">
        <v>291</v>
      </c>
      <c r="G237" s="17" t="s">
        <v>794</v>
      </c>
      <c r="H237" s="24" t="s">
        <v>23</v>
      </c>
      <c r="I237" s="11"/>
      <c r="J237" s="14"/>
    </row>
    <row r="238" ht="15.75" customHeight="1">
      <c r="A238" s="11" t="s">
        <v>13</v>
      </c>
      <c r="B238" s="11" t="s">
        <v>587</v>
      </c>
      <c r="C238" s="11" t="s">
        <v>851</v>
      </c>
      <c r="D238" s="11" t="s">
        <v>849</v>
      </c>
      <c r="E238" s="14" t="s">
        <v>852</v>
      </c>
      <c r="F238" s="37" t="s">
        <v>291</v>
      </c>
      <c r="G238" s="17" t="s">
        <v>794</v>
      </c>
      <c r="H238" s="24" t="s">
        <v>23</v>
      </c>
      <c r="I238" s="11"/>
      <c r="J238" s="14"/>
    </row>
    <row r="239" ht="15.75" customHeight="1">
      <c r="A239" s="11" t="s">
        <v>13</v>
      </c>
      <c r="B239" s="11" t="s">
        <v>589</v>
      </c>
      <c r="C239" s="11" t="s">
        <v>853</v>
      </c>
      <c r="D239" s="11" t="s">
        <v>849</v>
      </c>
      <c r="E239" s="14" t="s">
        <v>854</v>
      </c>
      <c r="F239" s="37" t="s">
        <v>291</v>
      </c>
      <c r="G239" s="17" t="s">
        <v>794</v>
      </c>
      <c r="H239" s="24" t="s">
        <v>23</v>
      </c>
      <c r="I239" s="11"/>
      <c r="J239" s="14"/>
    </row>
    <row r="240" ht="15.75" customHeight="1">
      <c r="A240" s="11" t="s">
        <v>13</v>
      </c>
      <c r="B240" s="11" t="s">
        <v>591</v>
      </c>
      <c r="C240" s="11" t="s">
        <v>855</v>
      </c>
      <c r="D240" s="11" t="s">
        <v>849</v>
      </c>
      <c r="E240" s="14" t="s">
        <v>856</v>
      </c>
      <c r="F240" s="37" t="s">
        <v>291</v>
      </c>
      <c r="G240" s="17" t="s">
        <v>794</v>
      </c>
      <c r="H240" s="24" t="s">
        <v>23</v>
      </c>
      <c r="I240" s="11"/>
      <c r="J240" s="14"/>
    </row>
    <row r="241" ht="15.75" customHeight="1">
      <c r="A241" s="11" t="s">
        <v>13</v>
      </c>
      <c r="B241" s="11" t="s">
        <v>593</v>
      </c>
      <c r="C241" s="11" t="s">
        <v>857</v>
      </c>
      <c r="D241" s="11" t="s">
        <v>849</v>
      </c>
      <c r="E241" s="14" t="s">
        <v>858</v>
      </c>
      <c r="F241" s="37" t="s">
        <v>291</v>
      </c>
      <c r="G241" s="17" t="s">
        <v>794</v>
      </c>
      <c r="H241" s="24" t="s">
        <v>23</v>
      </c>
      <c r="I241" s="11"/>
      <c r="J241" s="14"/>
    </row>
    <row r="242" ht="15.75" customHeight="1">
      <c r="A242" s="11" t="s">
        <v>13</v>
      </c>
      <c r="B242" s="11" t="s">
        <v>595</v>
      </c>
      <c r="C242" s="11" t="s">
        <v>859</v>
      </c>
      <c r="D242" s="11" t="s">
        <v>849</v>
      </c>
      <c r="E242" s="14" t="s">
        <v>860</v>
      </c>
      <c r="F242" s="37" t="s">
        <v>291</v>
      </c>
      <c r="G242" s="17" t="s">
        <v>794</v>
      </c>
      <c r="H242" s="24" t="s">
        <v>23</v>
      </c>
      <c r="I242" s="11"/>
      <c r="J242" s="14"/>
    </row>
    <row r="243" ht="15.75" customHeight="1">
      <c r="A243" s="11" t="s">
        <v>13</v>
      </c>
      <c r="B243" s="11" t="s">
        <v>597</v>
      </c>
      <c r="C243" s="11" t="s">
        <v>861</v>
      </c>
      <c r="D243" s="11" t="s">
        <v>849</v>
      </c>
      <c r="E243" s="14" t="s">
        <v>862</v>
      </c>
      <c r="F243" s="37" t="s">
        <v>291</v>
      </c>
      <c r="G243" s="17" t="s">
        <v>794</v>
      </c>
      <c r="H243" s="24" t="s">
        <v>23</v>
      </c>
      <c r="I243" s="11"/>
      <c r="J243" s="14"/>
    </row>
    <row r="244" ht="15.75" customHeight="1">
      <c r="A244" s="11" t="s">
        <v>13</v>
      </c>
      <c r="B244" s="11" t="s">
        <v>598</v>
      </c>
      <c r="C244" s="11" t="s">
        <v>863</v>
      </c>
      <c r="D244" s="11" t="s">
        <v>849</v>
      </c>
      <c r="E244" s="14" t="s">
        <v>864</v>
      </c>
      <c r="F244" s="37" t="s">
        <v>291</v>
      </c>
      <c r="G244" s="17" t="s">
        <v>794</v>
      </c>
      <c r="H244" s="24" t="s">
        <v>23</v>
      </c>
      <c r="I244" s="11"/>
      <c r="J244" s="14"/>
    </row>
    <row r="245" ht="15.75" customHeight="1">
      <c r="A245" s="11" t="s">
        <v>13</v>
      </c>
      <c r="B245" s="11" t="s">
        <v>601</v>
      </c>
      <c r="C245" s="11" t="s">
        <v>865</v>
      </c>
      <c r="D245" s="11" t="s">
        <v>849</v>
      </c>
      <c r="E245" s="14" t="s">
        <v>866</v>
      </c>
      <c r="F245" s="37" t="s">
        <v>291</v>
      </c>
      <c r="G245" s="17" t="s">
        <v>794</v>
      </c>
      <c r="H245" s="24" t="s">
        <v>23</v>
      </c>
      <c r="I245" s="11"/>
      <c r="J245" s="14"/>
    </row>
    <row r="246" ht="15.75" customHeight="1">
      <c r="A246" s="11" t="s">
        <v>13</v>
      </c>
      <c r="B246" s="11" t="s">
        <v>602</v>
      </c>
      <c r="C246" s="11" t="s">
        <v>867</v>
      </c>
      <c r="D246" s="11" t="s">
        <v>849</v>
      </c>
      <c r="E246" s="14" t="s">
        <v>868</v>
      </c>
      <c r="F246" s="37" t="s">
        <v>291</v>
      </c>
      <c r="G246" s="17" t="s">
        <v>794</v>
      </c>
      <c r="H246" s="24" t="s">
        <v>23</v>
      </c>
      <c r="I246" s="11"/>
      <c r="J246" s="14"/>
    </row>
    <row r="247" ht="15.75" customHeight="1">
      <c r="A247" s="11" t="s">
        <v>13</v>
      </c>
      <c r="B247" s="11" t="s">
        <v>605</v>
      </c>
      <c r="C247" s="11" t="s">
        <v>869</v>
      </c>
      <c r="D247" s="11" t="s">
        <v>849</v>
      </c>
      <c r="E247" s="14" t="s">
        <v>870</v>
      </c>
      <c r="F247" s="37" t="s">
        <v>291</v>
      </c>
      <c r="G247" s="17" t="s">
        <v>794</v>
      </c>
      <c r="H247" s="24" t="s">
        <v>23</v>
      </c>
      <c r="I247" s="11"/>
      <c r="J247" s="14"/>
    </row>
    <row r="248" ht="15.75" customHeight="1">
      <c r="A248" s="11" t="s">
        <v>15</v>
      </c>
      <c r="B248" s="11" t="s">
        <v>26</v>
      </c>
      <c r="C248" s="11" t="s">
        <v>27</v>
      </c>
      <c r="D248" s="11" t="s">
        <v>28</v>
      </c>
      <c r="E248" s="14" t="s">
        <v>29</v>
      </c>
      <c r="F248" s="15" t="s">
        <v>32</v>
      </c>
      <c r="G248" s="17" t="s">
        <v>35</v>
      </c>
      <c r="H248" s="18" t="s">
        <v>27</v>
      </c>
      <c r="I248" s="11"/>
      <c r="J248" s="14"/>
    </row>
    <row r="249" ht="15.75" customHeight="1">
      <c r="A249" s="19" t="s">
        <v>15</v>
      </c>
      <c r="B249" s="19" t="s">
        <v>390</v>
      </c>
      <c r="C249" s="19" t="s">
        <v>871</v>
      </c>
      <c r="D249" s="19" t="s">
        <v>872</v>
      </c>
      <c r="E249" s="20" t="s">
        <v>873</v>
      </c>
      <c r="F249" s="22" t="s">
        <v>45</v>
      </c>
      <c r="G249" s="23" t="s">
        <v>48</v>
      </c>
      <c r="H249" s="24" t="s">
        <v>23</v>
      </c>
      <c r="I249" s="19"/>
      <c r="J249" s="20"/>
    </row>
    <row r="250" ht="15.75" customHeight="1">
      <c r="A250" s="19" t="s">
        <v>15</v>
      </c>
      <c r="B250" s="19" t="s">
        <v>395</v>
      </c>
      <c r="C250" s="19" t="s">
        <v>874</v>
      </c>
      <c r="D250" s="19" t="s">
        <v>872</v>
      </c>
      <c r="E250" s="20" t="s">
        <v>875</v>
      </c>
      <c r="F250" s="22" t="s">
        <v>45</v>
      </c>
      <c r="G250" s="23" t="s">
        <v>48</v>
      </c>
      <c r="H250" s="24" t="s">
        <v>23</v>
      </c>
      <c r="I250" s="19"/>
      <c r="J250" s="20"/>
    </row>
    <row r="251" ht="15.75" customHeight="1">
      <c r="A251" s="19" t="s">
        <v>15</v>
      </c>
      <c r="B251" s="19" t="s">
        <v>121</v>
      </c>
      <c r="C251" s="19" t="s">
        <v>135</v>
      </c>
      <c r="D251" s="19" t="s">
        <v>872</v>
      </c>
      <c r="E251" s="20" t="s">
        <v>137</v>
      </c>
      <c r="F251" s="22" t="s">
        <v>45</v>
      </c>
      <c r="G251" s="23" t="s">
        <v>48</v>
      </c>
      <c r="H251" s="24" t="s">
        <v>23</v>
      </c>
      <c r="I251" s="19"/>
      <c r="J251" s="20"/>
    </row>
    <row r="252" ht="15.75" customHeight="1">
      <c r="A252" s="19" t="s">
        <v>15</v>
      </c>
      <c r="B252" s="19" t="s">
        <v>417</v>
      </c>
      <c r="C252" s="19" t="s">
        <v>876</v>
      </c>
      <c r="D252" s="19" t="s">
        <v>872</v>
      </c>
      <c r="E252" s="20" t="s">
        <v>877</v>
      </c>
      <c r="F252" s="22" t="s">
        <v>45</v>
      </c>
      <c r="G252" s="23" t="s">
        <v>48</v>
      </c>
      <c r="H252" s="24" t="s">
        <v>23</v>
      </c>
      <c r="I252" s="19"/>
      <c r="J252" s="20"/>
    </row>
    <row r="253" ht="15.75" customHeight="1">
      <c r="A253" s="19" t="s">
        <v>15</v>
      </c>
      <c r="B253" s="19" t="s">
        <v>123</v>
      </c>
      <c r="C253" s="19" t="s">
        <v>139</v>
      </c>
      <c r="D253" s="19" t="s">
        <v>872</v>
      </c>
      <c r="E253" s="20" t="s">
        <v>141</v>
      </c>
      <c r="F253" s="22" t="s">
        <v>45</v>
      </c>
      <c r="G253" s="23" t="s">
        <v>48</v>
      </c>
      <c r="H253" s="24" t="s">
        <v>23</v>
      </c>
      <c r="I253" s="19"/>
      <c r="J253" s="20"/>
    </row>
    <row r="254" ht="15.75" customHeight="1">
      <c r="A254" s="19" t="s">
        <v>15</v>
      </c>
      <c r="B254" s="19" t="s">
        <v>125</v>
      </c>
      <c r="C254" s="19" t="s">
        <v>143</v>
      </c>
      <c r="D254" s="19" t="s">
        <v>872</v>
      </c>
      <c r="E254" s="20" t="s">
        <v>144</v>
      </c>
      <c r="F254" s="22" t="s">
        <v>45</v>
      </c>
      <c r="G254" s="23" t="s">
        <v>48</v>
      </c>
      <c r="H254" s="24" t="s">
        <v>23</v>
      </c>
      <c r="I254" s="19"/>
      <c r="J254" s="20"/>
    </row>
    <row r="255" ht="15.75" customHeight="1">
      <c r="A255" s="19" t="s">
        <v>15</v>
      </c>
      <c r="B255" s="19" t="s">
        <v>138</v>
      </c>
      <c r="C255" s="19" t="s">
        <v>156</v>
      </c>
      <c r="D255" s="19" t="s">
        <v>872</v>
      </c>
      <c r="E255" s="20" t="s">
        <v>158</v>
      </c>
      <c r="F255" s="22" t="s">
        <v>45</v>
      </c>
      <c r="G255" s="23" t="s">
        <v>48</v>
      </c>
      <c r="H255" s="24" t="s">
        <v>23</v>
      </c>
      <c r="I255" s="19"/>
      <c r="J255" s="20"/>
    </row>
    <row r="256" ht="15.75" customHeight="1">
      <c r="A256" s="19" t="s">
        <v>15</v>
      </c>
      <c r="B256" s="19" t="s">
        <v>142</v>
      </c>
      <c r="C256" s="19" t="s">
        <v>164</v>
      </c>
      <c r="D256" s="19" t="s">
        <v>872</v>
      </c>
      <c r="E256" s="20" t="s">
        <v>166</v>
      </c>
      <c r="F256" s="22" t="s">
        <v>45</v>
      </c>
      <c r="G256" s="23" t="s">
        <v>48</v>
      </c>
      <c r="H256" s="24" t="s">
        <v>23</v>
      </c>
      <c r="I256" s="19"/>
      <c r="J256" s="20"/>
    </row>
    <row r="257" ht="15.75" customHeight="1">
      <c r="A257" s="19" t="s">
        <v>15</v>
      </c>
      <c r="B257" s="19" t="s">
        <v>145</v>
      </c>
      <c r="C257" s="19" t="s">
        <v>168</v>
      </c>
      <c r="D257" s="19" t="s">
        <v>872</v>
      </c>
      <c r="E257" s="20" t="s">
        <v>169</v>
      </c>
      <c r="F257" s="22" t="s">
        <v>45</v>
      </c>
      <c r="G257" s="23" t="s">
        <v>48</v>
      </c>
      <c r="H257" s="24" t="s">
        <v>23</v>
      </c>
      <c r="I257" s="19"/>
      <c r="J257" s="20"/>
    </row>
    <row r="258" ht="15.75" customHeight="1">
      <c r="A258" s="19" t="s">
        <v>15</v>
      </c>
      <c r="B258" s="19" t="s">
        <v>129</v>
      </c>
      <c r="C258" s="19" t="s">
        <v>146</v>
      </c>
      <c r="D258" s="19" t="s">
        <v>872</v>
      </c>
      <c r="E258" s="20" t="s">
        <v>147</v>
      </c>
      <c r="F258" s="22" t="s">
        <v>45</v>
      </c>
      <c r="G258" s="23" t="s">
        <v>48</v>
      </c>
      <c r="H258" s="24" t="s">
        <v>23</v>
      </c>
      <c r="I258" s="19"/>
      <c r="J258" s="20"/>
    </row>
    <row r="259" ht="15.75" customHeight="1">
      <c r="A259" s="19" t="s">
        <v>15</v>
      </c>
      <c r="B259" s="19" t="s">
        <v>131</v>
      </c>
      <c r="C259" s="19" t="s">
        <v>150</v>
      </c>
      <c r="D259" s="19" t="s">
        <v>872</v>
      </c>
      <c r="E259" s="20" t="s">
        <v>151</v>
      </c>
      <c r="F259" s="22" t="s">
        <v>45</v>
      </c>
      <c r="G259" s="23" t="s">
        <v>48</v>
      </c>
      <c r="H259" s="24" t="s">
        <v>23</v>
      </c>
      <c r="I259" s="19"/>
      <c r="J259" s="20"/>
    </row>
    <row r="260" ht="15.75" customHeight="1">
      <c r="A260" s="19" t="s">
        <v>15</v>
      </c>
      <c r="B260" s="19" t="s">
        <v>134</v>
      </c>
      <c r="C260" s="19" t="s">
        <v>153</v>
      </c>
      <c r="D260" s="19" t="s">
        <v>872</v>
      </c>
      <c r="E260" s="20" t="s">
        <v>154</v>
      </c>
      <c r="F260" s="22" t="s">
        <v>45</v>
      </c>
      <c r="G260" s="23" t="s">
        <v>48</v>
      </c>
      <c r="H260" s="24" t="s">
        <v>23</v>
      </c>
      <c r="I260" s="19"/>
      <c r="J260" s="20"/>
    </row>
    <row r="261" ht="15.75" customHeight="1">
      <c r="A261" s="19" t="s">
        <v>15</v>
      </c>
      <c r="B261" s="19" t="s">
        <v>183</v>
      </c>
      <c r="C261" s="19" t="s">
        <v>184</v>
      </c>
      <c r="D261" s="19" t="s">
        <v>872</v>
      </c>
      <c r="E261" s="20" t="s">
        <v>185</v>
      </c>
      <c r="F261" s="22" t="s">
        <v>45</v>
      </c>
      <c r="G261" s="23" t="s">
        <v>48</v>
      </c>
      <c r="H261" s="24" t="s">
        <v>23</v>
      </c>
      <c r="I261" s="19"/>
      <c r="J261" s="20"/>
    </row>
    <row r="262" ht="15.75" customHeight="1">
      <c r="A262" s="19" t="s">
        <v>15</v>
      </c>
      <c r="B262" s="19" t="s">
        <v>190</v>
      </c>
      <c r="C262" s="19" t="s">
        <v>192</v>
      </c>
      <c r="D262" s="19" t="s">
        <v>872</v>
      </c>
      <c r="E262" s="20" t="s">
        <v>193</v>
      </c>
      <c r="F262" s="22" t="s">
        <v>45</v>
      </c>
      <c r="G262" s="23" t="s">
        <v>48</v>
      </c>
      <c r="H262" s="24" t="s">
        <v>23</v>
      </c>
      <c r="I262" s="19"/>
      <c r="J262" s="20"/>
    </row>
    <row r="263" ht="15.75" customHeight="1">
      <c r="A263" s="19" t="s">
        <v>15</v>
      </c>
      <c r="B263" s="19" t="s">
        <v>195</v>
      </c>
      <c r="C263" s="19" t="s">
        <v>196</v>
      </c>
      <c r="D263" s="19" t="s">
        <v>872</v>
      </c>
      <c r="E263" s="20" t="s">
        <v>198</v>
      </c>
      <c r="F263" s="22" t="s">
        <v>45</v>
      </c>
      <c r="G263" s="23" t="s">
        <v>48</v>
      </c>
      <c r="H263" s="24" t="s">
        <v>23</v>
      </c>
      <c r="I263" s="19"/>
      <c r="J263" s="20"/>
    </row>
    <row r="264" ht="15.75" customHeight="1">
      <c r="A264" s="19" t="s">
        <v>15</v>
      </c>
      <c r="B264" s="19" t="s">
        <v>152</v>
      </c>
      <c r="C264" s="19" t="s">
        <v>179</v>
      </c>
      <c r="D264" s="19" t="s">
        <v>872</v>
      </c>
      <c r="E264" s="20" t="s">
        <v>181</v>
      </c>
      <c r="F264" s="22" t="s">
        <v>45</v>
      </c>
      <c r="G264" s="23" t="s">
        <v>48</v>
      </c>
      <c r="H264" s="24" t="s">
        <v>23</v>
      </c>
      <c r="I264" s="19"/>
      <c r="J264" s="20"/>
    </row>
    <row r="265" ht="15.75" customHeight="1">
      <c r="A265" s="11" t="s">
        <v>15</v>
      </c>
      <c r="B265" s="11" t="s">
        <v>442</v>
      </c>
      <c r="C265" s="11" t="s">
        <v>381</v>
      </c>
      <c r="D265" s="11" t="s">
        <v>878</v>
      </c>
      <c r="E265" s="14" t="s">
        <v>879</v>
      </c>
      <c r="F265" s="22" t="s">
        <v>45</v>
      </c>
      <c r="G265" s="17" t="s">
        <v>48</v>
      </c>
      <c r="H265" s="24" t="s">
        <v>23</v>
      </c>
      <c r="I265" s="11"/>
      <c r="J265" s="14"/>
    </row>
    <row r="266" ht="15.75" customHeight="1">
      <c r="A266" s="11" t="s">
        <v>15</v>
      </c>
      <c r="B266" s="11" t="s">
        <v>444</v>
      </c>
      <c r="C266" s="11" t="s">
        <v>398</v>
      </c>
      <c r="D266" s="11" t="s">
        <v>878</v>
      </c>
      <c r="E266" s="14" t="s">
        <v>401</v>
      </c>
      <c r="F266" s="22" t="s">
        <v>45</v>
      </c>
      <c r="G266" s="17" t="s">
        <v>48</v>
      </c>
      <c r="H266" s="24" t="s">
        <v>23</v>
      </c>
      <c r="I266" s="11"/>
      <c r="J266" s="14"/>
    </row>
    <row r="267" ht="15.75" customHeight="1">
      <c r="A267" s="11" t="s">
        <v>15</v>
      </c>
      <c r="B267" s="11" t="s">
        <v>447</v>
      </c>
      <c r="C267" s="11" t="s">
        <v>880</v>
      </c>
      <c r="D267" s="11" t="s">
        <v>878</v>
      </c>
      <c r="E267" s="14" t="s">
        <v>881</v>
      </c>
      <c r="F267" s="22" t="s">
        <v>45</v>
      </c>
      <c r="G267" s="17" t="s">
        <v>48</v>
      </c>
      <c r="H267" s="24" t="s">
        <v>23</v>
      </c>
      <c r="I267" s="11"/>
      <c r="J267" s="14"/>
    </row>
    <row r="268" ht="15.75" customHeight="1">
      <c r="A268" s="11" t="s">
        <v>15</v>
      </c>
      <c r="B268" s="11" t="s">
        <v>203</v>
      </c>
      <c r="C268" s="11" t="s">
        <v>280</v>
      </c>
      <c r="D268" s="11" t="s">
        <v>878</v>
      </c>
      <c r="E268" s="14" t="s">
        <v>281</v>
      </c>
      <c r="F268" s="22" t="s">
        <v>45</v>
      </c>
      <c r="G268" s="17" t="s">
        <v>48</v>
      </c>
      <c r="H268" s="24" t="s">
        <v>23</v>
      </c>
      <c r="I268" s="11"/>
      <c r="J268" s="14"/>
    </row>
    <row r="269" ht="15.75" customHeight="1">
      <c r="A269" s="11" t="s">
        <v>15</v>
      </c>
      <c r="B269" s="11" t="s">
        <v>207</v>
      </c>
      <c r="C269" s="11" t="s">
        <v>288</v>
      </c>
      <c r="D269" s="11" t="s">
        <v>878</v>
      </c>
      <c r="E269" s="14" t="s">
        <v>289</v>
      </c>
      <c r="F269" s="37" t="s">
        <v>291</v>
      </c>
      <c r="G269" s="17" t="s">
        <v>294</v>
      </c>
      <c r="H269" s="24" t="s">
        <v>23</v>
      </c>
      <c r="I269" s="11"/>
      <c r="J269" s="14"/>
    </row>
    <row r="270" ht="15.75" customHeight="1">
      <c r="A270" s="11" t="s">
        <v>15</v>
      </c>
      <c r="B270" s="11" t="s">
        <v>385</v>
      </c>
      <c r="C270" s="11" t="s">
        <v>386</v>
      </c>
      <c r="D270" s="11" t="s">
        <v>878</v>
      </c>
      <c r="E270" s="14" t="s">
        <v>387</v>
      </c>
      <c r="F270" s="37" t="s">
        <v>291</v>
      </c>
      <c r="G270" s="17" t="s">
        <v>301</v>
      </c>
      <c r="H270" s="24" t="s">
        <v>23</v>
      </c>
      <c r="I270" s="11"/>
      <c r="J270" s="14"/>
    </row>
    <row r="271" ht="15.75" customHeight="1">
      <c r="A271" s="11" t="s">
        <v>15</v>
      </c>
      <c r="B271" s="11" t="s">
        <v>221</v>
      </c>
      <c r="C271" s="11" t="s">
        <v>316</v>
      </c>
      <c r="D271" s="11" t="s">
        <v>878</v>
      </c>
      <c r="E271" s="14" t="s">
        <v>317</v>
      </c>
      <c r="F271" s="22" t="s">
        <v>45</v>
      </c>
      <c r="G271" s="17" t="s">
        <v>48</v>
      </c>
      <c r="H271" s="24" t="s">
        <v>23</v>
      </c>
      <c r="I271" s="11"/>
      <c r="J271" s="14"/>
    </row>
    <row r="272" ht="15.75" customHeight="1">
      <c r="A272" s="11" t="s">
        <v>15</v>
      </c>
      <c r="B272" s="11" t="s">
        <v>224</v>
      </c>
      <c r="C272" s="11" t="s">
        <v>318</v>
      </c>
      <c r="D272" s="11" t="s">
        <v>878</v>
      </c>
      <c r="E272" s="14" t="s">
        <v>319</v>
      </c>
      <c r="F272" s="22" t="s">
        <v>45</v>
      </c>
      <c r="G272" s="17" t="s">
        <v>48</v>
      </c>
      <c r="H272" s="24" t="s">
        <v>23</v>
      </c>
      <c r="I272" s="11"/>
      <c r="J272" s="14"/>
    </row>
    <row r="273" ht="15.75" customHeight="1">
      <c r="A273" s="11" t="s">
        <v>15</v>
      </c>
      <c r="B273" s="11" t="s">
        <v>457</v>
      </c>
      <c r="C273" s="11" t="s">
        <v>882</v>
      </c>
      <c r="D273" s="11" t="s">
        <v>878</v>
      </c>
      <c r="E273" s="14" t="s">
        <v>883</v>
      </c>
      <c r="F273" s="37" t="s">
        <v>291</v>
      </c>
      <c r="G273" s="17" t="s">
        <v>301</v>
      </c>
      <c r="H273" s="24" t="s">
        <v>23</v>
      </c>
      <c r="I273" s="11"/>
      <c r="J273" s="14"/>
    </row>
    <row r="274" ht="15.75" customHeight="1">
      <c r="A274" s="11" t="s">
        <v>15</v>
      </c>
      <c r="B274" s="11" t="s">
        <v>225</v>
      </c>
      <c r="C274" s="11" t="s">
        <v>322</v>
      </c>
      <c r="D274" s="11" t="s">
        <v>878</v>
      </c>
      <c r="E274" s="14" t="s">
        <v>323</v>
      </c>
      <c r="F274" s="37" t="s">
        <v>291</v>
      </c>
      <c r="G274" s="17" t="s">
        <v>301</v>
      </c>
      <c r="H274" s="24" t="s">
        <v>23</v>
      </c>
      <c r="I274" s="11"/>
      <c r="J274" s="14"/>
    </row>
    <row r="275" ht="15.75" customHeight="1">
      <c r="A275" s="11" t="s">
        <v>15</v>
      </c>
      <c r="B275" s="11" t="s">
        <v>228</v>
      </c>
      <c r="C275" s="11" t="s">
        <v>326</v>
      </c>
      <c r="D275" s="11" t="s">
        <v>878</v>
      </c>
      <c r="E275" s="14" t="s">
        <v>327</v>
      </c>
      <c r="F275" s="37" t="s">
        <v>291</v>
      </c>
      <c r="G275" s="17" t="s">
        <v>301</v>
      </c>
      <c r="H275" s="24" t="s">
        <v>23</v>
      </c>
      <c r="I275" s="11"/>
      <c r="J275" s="14"/>
    </row>
    <row r="276" ht="15.75" customHeight="1">
      <c r="A276" s="11" t="s">
        <v>15</v>
      </c>
      <c r="B276" s="11" t="s">
        <v>403</v>
      </c>
      <c r="C276" s="11" t="s">
        <v>404</v>
      </c>
      <c r="D276" s="11" t="s">
        <v>878</v>
      </c>
      <c r="E276" s="14" t="s">
        <v>406</v>
      </c>
      <c r="F276" s="30" t="s">
        <v>88</v>
      </c>
      <c r="G276" s="17" t="s">
        <v>407</v>
      </c>
      <c r="H276" s="24" t="s">
        <v>23</v>
      </c>
      <c r="I276" s="11"/>
      <c r="J276" s="14"/>
    </row>
    <row r="277" ht="15.75" customHeight="1">
      <c r="A277" s="11" t="s">
        <v>15</v>
      </c>
      <c r="B277" s="11" t="s">
        <v>155</v>
      </c>
      <c r="C277" s="11" t="s">
        <v>200</v>
      </c>
      <c r="D277" s="11" t="s">
        <v>878</v>
      </c>
      <c r="E277" s="14" t="s">
        <v>202</v>
      </c>
      <c r="F277" s="22" t="s">
        <v>45</v>
      </c>
      <c r="G277" s="17" t="s">
        <v>48</v>
      </c>
      <c r="H277" s="24" t="s">
        <v>23</v>
      </c>
      <c r="I277" s="11"/>
      <c r="J277" s="14"/>
    </row>
    <row r="278" ht="15.75" customHeight="1">
      <c r="A278" s="11" t="s">
        <v>15</v>
      </c>
      <c r="B278" s="11" t="s">
        <v>163</v>
      </c>
      <c r="C278" s="11" t="s">
        <v>215</v>
      </c>
      <c r="D278" s="11" t="s">
        <v>878</v>
      </c>
      <c r="E278" s="14" t="s">
        <v>216</v>
      </c>
      <c r="F278" s="22" t="s">
        <v>45</v>
      </c>
      <c r="G278" s="17" t="s">
        <v>48</v>
      </c>
      <c r="H278" s="24" t="s">
        <v>23</v>
      </c>
      <c r="I278" s="11"/>
      <c r="J278" s="14"/>
    </row>
    <row r="279" ht="15.75" customHeight="1">
      <c r="A279" s="11" t="s">
        <v>15</v>
      </c>
      <c r="B279" s="11" t="s">
        <v>466</v>
      </c>
      <c r="C279" s="11" t="s">
        <v>250</v>
      </c>
      <c r="D279" s="11" t="s">
        <v>878</v>
      </c>
      <c r="E279" s="14" t="s">
        <v>884</v>
      </c>
      <c r="F279" s="22" t="s">
        <v>45</v>
      </c>
      <c r="G279" s="17" t="s">
        <v>48</v>
      </c>
      <c r="H279" s="24" t="s">
        <v>23</v>
      </c>
      <c r="I279" s="11"/>
      <c r="J279" s="14"/>
    </row>
    <row r="280" ht="15.75" customHeight="1">
      <c r="A280" s="11" t="s">
        <v>15</v>
      </c>
      <c r="B280" s="11" t="s">
        <v>170</v>
      </c>
      <c r="C280" s="11" t="s">
        <v>226</v>
      </c>
      <c r="D280" s="11" t="s">
        <v>878</v>
      </c>
      <c r="E280" s="14" t="s">
        <v>227</v>
      </c>
      <c r="F280" s="22" t="s">
        <v>45</v>
      </c>
      <c r="G280" s="17" t="s">
        <v>48</v>
      </c>
      <c r="H280" s="24" t="s">
        <v>23</v>
      </c>
      <c r="I280" s="11"/>
      <c r="J280" s="14"/>
    </row>
    <row r="281" ht="15.75" customHeight="1">
      <c r="A281" s="11" t="s">
        <v>15</v>
      </c>
      <c r="B281" s="11" t="s">
        <v>159</v>
      </c>
      <c r="C281" s="11" t="s">
        <v>208</v>
      </c>
      <c r="D281" s="11" t="s">
        <v>878</v>
      </c>
      <c r="E281" s="14" t="s">
        <v>209</v>
      </c>
      <c r="F281" s="22" t="s">
        <v>45</v>
      </c>
      <c r="G281" s="17" t="s">
        <v>48</v>
      </c>
      <c r="H281" s="24" t="s">
        <v>23</v>
      </c>
      <c r="I281" s="11"/>
      <c r="J281" s="14"/>
    </row>
    <row r="282" ht="15.75" customHeight="1">
      <c r="A282" s="11" t="s">
        <v>15</v>
      </c>
      <c r="B282" s="11" t="s">
        <v>165</v>
      </c>
      <c r="C282" s="11" t="s">
        <v>219</v>
      </c>
      <c r="D282" s="11" t="s">
        <v>878</v>
      </c>
      <c r="E282" s="14" t="s">
        <v>220</v>
      </c>
      <c r="F282" s="22" t="s">
        <v>45</v>
      </c>
      <c r="G282" s="17" t="s">
        <v>48</v>
      </c>
      <c r="H282" s="24" t="s">
        <v>23</v>
      </c>
      <c r="I282" s="11"/>
      <c r="J282" s="14"/>
    </row>
    <row r="283" ht="15.75" customHeight="1">
      <c r="A283" s="11" t="s">
        <v>15</v>
      </c>
      <c r="B283" s="11" t="s">
        <v>167</v>
      </c>
      <c r="C283" s="11" t="s">
        <v>222</v>
      </c>
      <c r="D283" s="11" t="s">
        <v>878</v>
      </c>
      <c r="E283" s="14" t="s">
        <v>223</v>
      </c>
      <c r="F283" s="22" t="s">
        <v>45</v>
      </c>
      <c r="G283" s="17" t="s">
        <v>48</v>
      </c>
      <c r="H283" s="24" t="s">
        <v>23</v>
      </c>
      <c r="I283" s="11"/>
      <c r="J283" s="14"/>
    </row>
    <row r="284" ht="15.75" customHeight="1">
      <c r="A284" s="11" t="s">
        <v>15</v>
      </c>
      <c r="B284" s="11" t="s">
        <v>161</v>
      </c>
      <c r="C284" s="11" t="s">
        <v>211</v>
      </c>
      <c r="D284" s="11" t="s">
        <v>878</v>
      </c>
      <c r="E284" s="14" t="s">
        <v>213</v>
      </c>
      <c r="F284" s="22" t="s">
        <v>45</v>
      </c>
      <c r="G284" s="17" t="s">
        <v>48</v>
      </c>
      <c r="H284" s="24" t="s">
        <v>23</v>
      </c>
      <c r="I284" s="11"/>
      <c r="J284" s="14"/>
    </row>
    <row r="285" ht="15.75" customHeight="1">
      <c r="A285" s="11" t="s">
        <v>15</v>
      </c>
      <c r="B285" s="11" t="s">
        <v>187</v>
      </c>
      <c r="C285" s="11" t="s">
        <v>254</v>
      </c>
      <c r="D285" s="11" t="s">
        <v>878</v>
      </c>
      <c r="E285" s="14" t="s">
        <v>255</v>
      </c>
      <c r="F285" s="22" t="s">
        <v>45</v>
      </c>
      <c r="G285" s="17" t="s">
        <v>48</v>
      </c>
      <c r="H285" s="24" t="s">
        <v>23</v>
      </c>
      <c r="I285" s="11"/>
      <c r="J285" s="14"/>
    </row>
    <row r="286" ht="15.75" customHeight="1">
      <c r="A286" s="11" t="s">
        <v>15</v>
      </c>
      <c r="B286" s="11" t="s">
        <v>191</v>
      </c>
      <c r="C286" s="11" t="s">
        <v>264</v>
      </c>
      <c r="D286" s="11" t="s">
        <v>878</v>
      </c>
      <c r="E286" s="14" t="s">
        <v>265</v>
      </c>
      <c r="F286" s="22" t="s">
        <v>45</v>
      </c>
      <c r="G286" s="17" t="s">
        <v>48</v>
      </c>
      <c r="H286" s="24" t="s">
        <v>23</v>
      </c>
      <c r="I286" s="11"/>
      <c r="J286" s="14"/>
    </row>
    <row r="287" ht="15.75" customHeight="1">
      <c r="A287" s="11" t="s">
        <v>15</v>
      </c>
      <c r="B287" s="11" t="s">
        <v>189</v>
      </c>
      <c r="C287" s="11" t="s">
        <v>261</v>
      </c>
      <c r="D287" s="11" t="s">
        <v>878</v>
      </c>
      <c r="E287" s="14" t="s">
        <v>262</v>
      </c>
      <c r="F287" s="22" t="s">
        <v>45</v>
      </c>
      <c r="G287" s="17" t="s">
        <v>48</v>
      </c>
      <c r="H287" s="24" t="s">
        <v>23</v>
      </c>
      <c r="I287" s="11"/>
      <c r="J287" s="14"/>
    </row>
    <row r="288" ht="15.75" customHeight="1">
      <c r="A288" s="11" t="s">
        <v>15</v>
      </c>
      <c r="B288" s="11" t="s">
        <v>174</v>
      </c>
      <c r="C288" s="11" t="s">
        <v>233</v>
      </c>
      <c r="D288" s="11" t="s">
        <v>878</v>
      </c>
      <c r="E288" s="14" t="s">
        <v>235</v>
      </c>
      <c r="F288" s="22" t="s">
        <v>45</v>
      </c>
      <c r="G288" s="17" t="s">
        <v>48</v>
      </c>
      <c r="H288" s="24" t="s">
        <v>23</v>
      </c>
      <c r="I288" s="11"/>
      <c r="J288" s="14"/>
    </row>
    <row r="289" ht="15.75" customHeight="1">
      <c r="A289" s="11" t="s">
        <v>15</v>
      </c>
      <c r="B289" s="11" t="s">
        <v>188</v>
      </c>
      <c r="C289" s="11" t="s">
        <v>257</v>
      </c>
      <c r="D289" s="11" t="s">
        <v>878</v>
      </c>
      <c r="E289" s="14" t="s">
        <v>259</v>
      </c>
      <c r="F289" s="22" t="s">
        <v>45</v>
      </c>
      <c r="G289" s="17" t="s">
        <v>48</v>
      </c>
      <c r="H289" s="24" t="s">
        <v>23</v>
      </c>
      <c r="I289" s="11"/>
      <c r="J289" s="14"/>
    </row>
    <row r="290" ht="15.75" customHeight="1">
      <c r="A290" s="11" t="s">
        <v>15</v>
      </c>
      <c r="B290" s="11" t="s">
        <v>391</v>
      </c>
      <c r="C290" s="11" t="s">
        <v>392</v>
      </c>
      <c r="D290" s="11" t="s">
        <v>878</v>
      </c>
      <c r="E290" s="14" t="s">
        <v>394</v>
      </c>
      <c r="F290" s="30" t="s">
        <v>88</v>
      </c>
      <c r="G290" s="17" t="s">
        <v>368</v>
      </c>
      <c r="H290" s="24" t="s">
        <v>23</v>
      </c>
      <c r="I290" s="11"/>
      <c r="J290" s="14"/>
    </row>
    <row r="291" ht="15.75" customHeight="1">
      <c r="A291" s="11" t="s">
        <v>15</v>
      </c>
      <c r="B291" s="11" t="s">
        <v>253</v>
      </c>
      <c r="C291" s="11" t="s">
        <v>376</v>
      </c>
      <c r="D291" s="11" t="s">
        <v>878</v>
      </c>
      <c r="E291" s="14" t="s">
        <v>378</v>
      </c>
      <c r="F291" s="30" t="s">
        <v>88</v>
      </c>
      <c r="G291" s="17" t="s">
        <v>368</v>
      </c>
      <c r="H291" s="24" t="s">
        <v>23</v>
      </c>
      <c r="I291" s="11"/>
      <c r="J291" s="14"/>
    </row>
    <row r="292" ht="15.75" customHeight="1">
      <c r="A292" s="11" t="s">
        <v>15</v>
      </c>
      <c r="B292" s="11" t="s">
        <v>249</v>
      </c>
      <c r="C292" s="11" t="s">
        <v>365</v>
      </c>
      <c r="D292" s="11" t="s">
        <v>878</v>
      </c>
      <c r="E292" s="14" t="s">
        <v>366</v>
      </c>
      <c r="F292" s="30" t="s">
        <v>88</v>
      </c>
      <c r="G292" s="17" t="s">
        <v>368</v>
      </c>
      <c r="H292" s="24" t="s">
        <v>23</v>
      </c>
      <c r="I292" s="11"/>
      <c r="J292" s="14"/>
    </row>
    <row r="293" ht="15.75" customHeight="1">
      <c r="A293" s="11" t="s">
        <v>15</v>
      </c>
      <c r="B293" s="11" t="s">
        <v>555</v>
      </c>
      <c r="C293" s="11" t="s">
        <v>703</v>
      </c>
      <c r="D293" s="11" t="s">
        <v>878</v>
      </c>
      <c r="E293" s="14" t="s">
        <v>704</v>
      </c>
      <c r="F293" s="37" t="s">
        <v>291</v>
      </c>
      <c r="G293" s="17" t="s">
        <v>678</v>
      </c>
      <c r="H293" s="24" t="s">
        <v>23</v>
      </c>
      <c r="I293" s="11"/>
      <c r="J293" s="14"/>
    </row>
    <row r="294" ht="15.75" customHeight="1">
      <c r="A294" s="11" t="s">
        <v>15</v>
      </c>
      <c r="B294" s="11" t="s">
        <v>647</v>
      </c>
      <c r="C294" s="11" t="s">
        <v>679</v>
      </c>
      <c r="D294" s="11" t="s">
        <v>878</v>
      </c>
      <c r="E294" s="14" t="s">
        <v>885</v>
      </c>
      <c r="F294" s="37" t="s">
        <v>291</v>
      </c>
      <c r="G294" s="17" t="s">
        <v>678</v>
      </c>
      <c r="H294" s="24" t="s">
        <v>23</v>
      </c>
      <c r="I294" s="11"/>
      <c r="J294" s="14"/>
    </row>
    <row r="295" ht="15.75" customHeight="1">
      <c r="A295" s="11" t="s">
        <v>15</v>
      </c>
      <c r="B295" s="11" t="s">
        <v>650</v>
      </c>
      <c r="C295" s="11" t="s">
        <v>681</v>
      </c>
      <c r="D295" s="11" t="s">
        <v>878</v>
      </c>
      <c r="E295" s="14" t="s">
        <v>886</v>
      </c>
      <c r="F295" s="37" t="s">
        <v>291</v>
      </c>
      <c r="G295" s="17" t="s">
        <v>678</v>
      </c>
      <c r="H295" s="24" t="s">
        <v>23</v>
      </c>
      <c r="I295" s="11"/>
      <c r="J295" s="14"/>
    </row>
    <row r="296" ht="15.75" customHeight="1">
      <c r="A296" s="19" t="s">
        <v>15</v>
      </c>
      <c r="B296" s="19" t="s">
        <v>258</v>
      </c>
      <c r="C296" s="19" t="s">
        <v>411</v>
      </c>
      <c r="D296" s="19" t="s">
        <v>887</v>
      </c>
      <c r="E296" s="20" t="s">
        <v>413</v>
      </c>
      <c r="F296" s="30" t="s">
        <v>88</v>
      </c>
      <c r="G296" s="23" t="s">
        <v>415</v>
      </c>
      <c r="H296" s="24" t="s">
        <v>23</v>
      </c>
      <c r="I296" s="19"/>
      <c r="J296" s="20"/>
    </row>
    <row r="297" ht="15.75" customHeight="1">
      <c r="A297" s="19" t="s">
        <v>15</v>
      </c>
      <c r="B297" s="19" t="s">
        <v>268</v>
      </c>
      <c r="C297" s="19" t="s">
        <v>431</v>
      </c>
      <c r="D297" s="19" t="s">
        <v>887</v>
      </c>
      <c r="E297" s="20" t="s">
        <v>432</v>
      </c>
      <c r="F297" s="30" t="s">
        <v>88</v>
      </c>
      <c r="G297" s="23" t="s">
        <v>415</v>
      </c>
      <c r="H297" s="24" t="s">
        <v>23</v>
      </c>
      <c r="I297" s="19"/>
      <c r="J297" s="20"/>
    </row>
    <row r="298" ht="15.75" customHeight="1">
      <c r="A298" s="19" t="s">
        <v>15</v>
      </c>
      <c r="B298" s="19" t="s">
        <v>266</v>
      </c>
      <c r="C298" s="19" t="s">
        <v>427</v>
      </c>
      <c r="D298" s="19" t="s">
        <v>887</v>
      </c>
      <c r="E298" s="20" t="s">
        <v>428</v>
      </c>
      <c r="F298" s="30" t="s">
        <v>88</v>
      </c>
      <c r="G298" s="23" t="s">
        <v>415</v>
      </c>
      <c r="H298" s="24" t="s">
        <v>23</v>
      </c>
      <c r="I298" s="19"/>
      <c r="J298" s="20"/>
    </row>
    <row r="299" ht="15.75" customHeight="1">
      <c r="A299" s="19" t="s">
        <v>15</v>
      </c>
      <c r="B299" s="19" t="s">
        <v>270</v>
      </c>
      <c r="C299" s="19" t="s">
        <v>435</v>
      </c>
      <c r="D299" s="19" t="s">
        <v>887</v>
      </c>
      <c r="E299" s="20" t="s">
        <v>436</v>
      </c>
      <c r="F299" s="30" t="s">
        <v>88</v>
      </c>
      <c r="G299" s="23" t="s">
        <v>415</v>
      </c>
      <c r="H299" s="24" t="s">
        <v>23</v>
      </c>
      <c r="I299" s="19"/>
      <c r="J299" s="20"/>
    </row>
    <row r="300" ht="15.75" customHeight="1">
      <c r="A300" s="19" t="s">
        <v>15</v>
      </c>
      <c r="B300" s="19" t="s">
        <v>272</v>
      </c>
      <c r="C300" s="19" t="s">
        <v>439</v>
      </c>
      <c r="D300" s="19" t="s">
        <v>887</v>
      </c>
      <c r="E300" s="20" t="s">
        <v>441</v>
      </c>
      <c r="F300" s="30" t="s">
        <v>88</v>
      </c>
      <c r="G300" s="23" t="s">
        <v>415</v>
      </c>
      <c r="H300" s="24" t="s">
        <v>23</v>
      </c>
      <c r="I300" s="19"/>
      <c r="J300" s="20"/>
    </row>
    <row r="301" ht="15.75" customHeight="1">
      <c r="A301" s="19" t="s">
        <v>15</v>
      </c>
      <c r="B301" s="19" t="s">
        <v>263</v>
      </c>
      <c r="C301" s="19" t="s">
        <v>422</v>
      </c>
      <c r="D301" s="19" t="s">
        <v>887</v>
      </c>
      <c r="E301" s="20" t="s">
        <v>424</v>
      </c>
      <c r="F301" s="30" t="s">
        <v>88</v>
      </c>
      <c r="G301" s="23" t="s">
        <v>415</v>
      </c>
      <c r="H301" s="24" t="s">
        <v>23</v>
      </c>
      <c r="I301" s="19"/>
      <c r="J301" s="20"/>
    </row>
    <row r="302" ht="15.75" customHeight="1">
      <c r="A302" s="19" t="s">
        <v>15</v>
      </c>
      <c r="B302" s="19" t="s">
        <v>463</v>
      </c>
      <c r="C302" s="19" t="s">
        <v>464</v>
      </c>
      <c r="D302" s="19" t="s">
        <v>887</v>
      </c>
      <c r="E302" s="20" t="s">
        <v>467</v>
      </c>
      <c r="F302" s="30" t="s">
        <v>88</v>
      </c>
      <c r="G302" s="23" t="s">
        <v>415</v>
      </c>
      <c r="H302" s="24" t="s">
        <v>23</v>
      </c>
      <c r="I302" s="19"/>
      <c r="J302" s="20"/>
    </row>
    <row r="303" ht="15.75" customHeight="1">
      <c r="A303" s="19" t="s">
        <v>15</v>
      </c>
      <c r="B303" s="19" t="s">
        <v>469</v>
      </c>
      <c r="C303" s="19" t="s">
        <v>470</v>
      </c>
      <c r="D303" s="19" t="s">
        <v>887</v>
      </c>
      <c r="E303" s="20" t="s">
        <v>472</v>
      </c>
      <c r="F303" s="30" t="s">
        <v>88</v>
      </c>
      <c r="G303" s="23" t="s">
        <v>415</v>
      </c>
      <c r="H303" s="24" t="s">
        <v>23</v>
      </c>
      <c r="I303" s="19"/>
      <c r="J303" s="20"/>
    </row>
    <row r="304" ht="15.75" customHeight="1">
      <c r="A304" s="19" t="s">
        <v>15</v>
      </c>
      <c r="B304" s="19" t="s">
        <v>474</v>
      </c>
      <c r="C304" s="19" t="s">
        <v>476</v>
      </c>
      <c r="D304" s="19" t="s">
        <v>887</v>
      </c>
      <c r="E304" s="20" t="s">
        <v>477</v>
      </c>
      <c r="F304" s="30" t="s">
        <v>88</v>
      </c>
      <c r="G304" s="23" t="s">
        <v>415</v>
      </c>
      <c r="H304" s="24" t="s">
        <v>23</v>
      </c>
      <c r="I304" s="19"/>
      <c r="J304" s="20"/>
    </row>
    <row r="305" ht="15.75" customHeight="1">
      <c r="A305" s="19" t="s">
        <v>15</v>
      </c>
      <c r="B305" s="19" t="s">
        <v>478</v>
      </c>
      <c r="C305" s="19" t="s">
        <v>479</v>
      </c>
      <c r="D305" s="19" t="s">
        <v>887</v>
      </c>
      <c r="E305" s="20" t="s">
        <v>480</v>
      </c>
      <c r="F305" s="30" t="s">
        <v>88</v>
      </c>
      <c r="G305" s="23" t="s">
        <v>415</v>
      </c>
      <c r="H305" s="24" t="s">
        <v>23</v>
      </c>
      <c r="I305" s="19"/>
      <c r="J305" s="20"/>
    </row>
    <row r="306" ht="15.75" customHeight="1">
      <c r="A306" s="11" t="s">
        <v>15</v>
      </c>
      <c r="B306" s="11" t="s">
        <v>399</v>
      </c>
      <c r="C306" s="11" t="s">
        <v>52</v>
      </c>
      <c r="D306" s="11" t="s">
        <v>888</v>
      </c>
      <c r="E306" s="14" t="s">
        <v>53</v>
      </c>
      <c r="F306" s="22" t="s">
        <v>45</v>
      </c>
      <c r="G306" s="17" t="s">
        <v>48</v>
      </c>
      <c r="H306" s="24" t="s">
        <v>23</v>
      </c>
      <c r="I306" s="11"/>
      <c r="J306" s="14"/>
    </row>
    <row r="307" ht="15.75" customHeight="1">
      <c r="A307" s="11" t="s">
        <v>15</v>
      </c>
      <c r="B307" s="11" t="s">
        <v>274</v>
      </c>
      <c r="C307" s="11" t="s">
        <v>482</v>
      </c>
      <c r="D307" s="11" t="s">
        <v>888</v>
      </c>
      <c r="E307" s="14" t="s">
        <v>485</v>
      </c>
      <c r="F307" s="22" t="s">
        <v>45</v>
      </c>
      <c r="G307" s="17" t="s">
        <v>48</v>
      </c>
      <c r="H307" s="24" t="s">
        <v>23</v>
      </c>
      <c r="I307" s="11"/>
      <c r="J307" s="14"/>
    </row>
    <row r="308" ht="15.75" customHeight="1">
      <c r="A308" s="11" t="s">
        <v>15</v>
      </c>
      <c r="B308" s="11" t="s">
        <v>409</v>
      </c>
      <c r="C308" s="11" t="s">
        <v>488</v>
      </c>
      <c r="D308" s="11" t="s">
        <v>888</v>
      </c>
      <c r="E308" s="14" t="s">
        <v>889</v>
      </c>
      <c r="F308" s="22" t="s">
        <v>45</v>
      </c>
      <c r="G308" s="17" t="s">
        <v>48</v>
      </c>
      <c r="H308" s="24" t="s">
        <v>23</v>
      </c>
      <c r="I308" s="11"/>
      <c r="J308" s="14"/>
    </row>
    <row r="309" ht="15.75" customHeight="1">
      <c r="A309" s="11" t="s">
        <v>15</v>
      </c>
      <c r="B309" s="11" t="s">
        <v>504</v>
      </c>
      <c r="C309" s="11" t="s">
        <v>497</v>
      </c>
      <c r="D309" s="11" t="s">
        <v>888</v>
      </c>
      <c r="E309" s="14" t="s">
        <v>498</v>
      </c>
      <c r="F309" s="30" t="s">
        <v>88</v>
      </c>
      <c r="G309" s="17" t="s">
        <v>495</v>
      </c>
      <c r="H309" s="24" t="s">
        <v>23</v>
      </c>
      <c r="I309" s="11"/>
      <c r="J309" s="14"/>
    </row>
    <row r="310" ht="15.75" customHeight="1">
      <c r="A310" s="11" t="s">
        <v>15</v>
      </c>
      <c r="B310" s="11" t="s">
        <v>278</v>
      </c>
      <c r="C310" s="11" t="s">
        <v>493</v>
      </c>
      <c r="D310" s="11" t="s">
        <v>888</v>
      </c>
      <c r="E310" s="14" t="s">
        <v>494</v>
      </c>
      <c r="F310" s="30" t="s">
        <v>88</v>
      </c>
      <c r="G310" s="17" t="s">
        <v>495</v>
      </c>
      <c r="H310" s="24" t="s">
        <v>23</v>
      </c>
      <c r="I310" s="11"/>
      <c r="J310" s="14"/>
    </row>
    <row r="311" ht="15.75" customHeight="1">
      <c r="A311" s="11" t="s">
        <v>15</v>
      </c>
      <c r="B311" s="11" t="s">
        <v>283</v>
      </c>
      <c r="C311" s="11" t="s">
        <v>505</v>
      </c>
      <c r="D311" s="11" t="s">
        <v>888</v>
      </c>
      <c r="E311" s="14" t="s">
        <v>506</v>
      </c>
      <c r="F311" s="30" t="s">
        <v>88</v>
      </c>
      <c r="G311" s="17" t="s">
        <v>495</v>
      </c>
      <c r="H311" s="24" t="s">
        <v>23</v>
      </c>
      <c r="I311" s="11"/>
      <c r="J311" s="14"/>
    </row>
    <row r="312" ht="15.75" customHeight="1">
      <c r="A312" s="11" t="s">
        <v>15</v>
      </c>
      <c r="B312" s="11" t="s">
        <v>282</v>
      </c>
      <c r="C312" s="11" t="s">
        <v>501</v>
      </c>
      <c r="D312" s="11" t="s">
        <v>888</v>
      </c>
      <c r="E312" s="14" t="s">
        <v>502</v>
      </c>
      <c r="F312" s="37" t="s">
        <v>291</v>
      </c>
      <c r="G312" s="17" t="s">
        <v>503</v>
      </c>
      <c r="H312" s="24" t="s">
        <v>23</v>
      </c>
      <c r="I312" s="11"/>
      <c r="J312" s="14"/>
    </row>
    <row r="313" ht="15.75" customHeight="1">
      <c r="A313" s="11" t="s">
        <v>15</v>
      </c>
      <c r="B313" s="11" t="s">
        <v>507</v>
      </c>
      <c r="C313" s="11" t="s">
        <v>517</v>
      </c>
      <c r="D313" s="11" t="s">
        <v>888</v>
      </c>
      <c r="E313" s="14" t="s">
        <v>519</v>
      </c>
      <c r="F313" s="37" t="s">
        <v>291</v>
      </c>
      <c r="G313" s="17" t="s">
        <v>512</v>
      </c>
      <c r="H313" s="24" t="s">
        <v>23</v>
      </c>
      <c r="I313" s="11"/>
      <c r="J313" s="14"/>
    </row>
    <row r="314" ht="15.75" customHeight="1">
      <c r="A314" s="11" t="s">
        <v>15</v>
      </c>
      <c r="B314" s="11" t="s">
        <v>511</v>
      </c>
      <c r="C314" s="11" t="s">
        <v>522</v>
      </c>
      <c r="D314" s="11" t="s">
        <v>888</v>
      </c>
      <c r="E314" s="14" t="s">
        <v>523</v>
      </c>
      <c r="F314" s="37" t="s">
        <v>291</v>
      </c>
      <c r="G314" s="17" t="s">
        <v>512</v>
      </c>
      <c r="H314" s="24" t="s">
        <v>23</v>
      </c>
      <c r="I314" s="11"/>
      <c r="J314" s="14"/>
    </row>
    <row r="315" ht="15.75" customHeight="1">
      <c r="A315" s="11" t="s">
        <v>15</v>
      </c>
      <c r="B315" s="11" t="s">
        <v>492</v>
      </c>
      <c r="C315" s="11" t="s">
        <v>823</v>
      </c>
      <c r="D315" s="11" t="s">
        <v>888</v>
      </c>
      <c r="E315" s="14" t="s">
        <v>825</v>
      </c>
      <c r="F315" s="30" t="s">
        <v>88</v>
      </c>
      <c r="G315" s="17" t="s">
        <v>826</v>
      </c>
      <c r="H315" s="24" t="s">
        <v>23</v>
      </c>
      <c r="I315" s="11"/>
      <c r="J315" s="14"/>
    </row>
    <row r="316" ht="15.75" customHeight="1">
      <c r="A316" s="19" t="s">
        <v>15</v>
      </c>
      <c r="B316" s="19" t="s">
        <v>513</v>
      </c>
      <c r="C316" s="19" t="s">
        <v>890</v>
      </c>
      <c r="D316" s="19" t="s">
        <v>891</v>
      </c>
      <c r="E316" s="20" t="s">
        <v>892</v>
      </c>
      <c r="F316" s="30" t="s">
        <v>88</v>
      </c>
      <c r="G316" s="23" t="s">
        <v>757</v>
      </c>
      <c r="H316" s="24" t="s">
        <v>23</v>
      </c>
      <c r="I316" s="19"/>
      <c r="J316" s="20"/>
    </row>
    <row r="317" ht="15.75" customHeight="1">
      <c r="A317" s="19" t="s">
        <v>15</v>
      </c>
      <c r="B317" s="19" t="s">
        <v>515</v>
      </c>
      <c r="C317" s="19" t="s">
        <v>893</v>
      </c>
      <c r="D317" s="19" t="s">
        <v>891</v>
      </c>
      <c r="E317" s="20" t="s">
        <v>894</v>
      </c>
      <c r="F317" s="30" t="s">
        <v>88</v>
      </c>
      <c r="G317" s="23" t="s">
        <v>757</v>
      </c>
      <c r="H317" s="24" t="s">
        <v>23</v>
      </c>
      <c r="I317" s="19"/>
      <c r="J317" s="20"/>
    </row>
    <row r="318" ht="15.75" customHeight="1">
      <c r="A318" s="19" t="s">
        <v>15</v>
      </c>
      <c r="B318" s="19" t="s">
        <v>433</v>
      </c>
      <c r="C318" s="19" t="s">
        <v>758</v>
      </c>
      <c r="D318" s="19" t="s">
        <v>891</v>
      </c>
      <c r="E318" s="20" t="s">
        <v>759</v>
      </c>
      <c r="F318" s="30" t="s">
        <v>88</v>
      </c>
      <c r="G318" s="23" t="s">
        <v>757</v>
      </c>
      <c r="H318" s="24" t="s">
        <v>23</v>
      </c>
      <c r="I318" s="19"/>
      <c r="J318" s="20"/>
    </row>
    <row r="319" ht="15.75" customHeight="1">
      <c r="A319" s="19" t="s">
        <v>15</v>
      </c>
      <c r="B319" s="19" t="s">
        <v>518</v>
      </c>
      <c r="C319" s="19" t="s">
        <v>895</v>
      </c>
      <c r="D319" s="19" t="s">
        <v>891</v>
      </c>
      <c r="E319" s="20" t="s">
        <v>896</v>
      </c>
      <c r="F319" s="22" t="s">
        <v>45</v>
      </c>
      <c r="G319" s="23" t="s">
        <v>48</v>
      </c>
      <c r="H319" s="24" t="s">
        <v>23</v>
      </c>
      <c r="I319" s="19"/>
      <c r="J319" s="20"/>
    </row>
    <row r="320" ht="15.75" customHeight="1">
      <c r="A320" s="19" t="s">
        <v>15</v>
      </c>
      <c r="B320" s="19" t="s">
        <v>509</v>
      </c>
      <c r="C320" s="19" t="s">
        <v>778</v>
      </c>
      <c r="D320" s="19" t="s">
        <v>891</v>
      </c>
      <c r="E320" s="20" t="s">
        <v>779</v>
      </c>
      <c r="F320" s="22" t="s">
        <v>45</v>
      </c>
      <c r="G320" s="23" t="s">
        <v>48</v>
      </c>
      <c r="H320" s="24" t="s">
        <v>23</v>
      </c>
      <c r="I320" s="19"/>
      <c r="J320" s="20"/>
    </row>
    <row r="321" ht="15.75" customHeight="1">
      <c r="A321" s="19" t="s">
        <v>15</v>
      </c>
      <c r="B321" s="19" t="s">
        <v>514</v>
      </c>
      <c r="C321" s="19" t="s">
        <v>780</v>
      </c>
      <c r="D321" s="19" t="s">
        <v>891</v>
      </c>
      <c r="E321" s="20" t="s">
        <v>781</v>
      </c>
      <c r="F321" s="22" t="s">
        <v>45</v>
      </c>
      <c r="G321" s="23" t="s">
        <v>48</v>
      </c>
      <c r="H321" s="24" t="s">
        <v>23</v>
      </c>
      <c r="I321" s="19"/>
      <c r="J321" s="20"/>
    </row>
    <row r="322" ht="15.75" customHeight="1">
      <c r="A322" s="19" t="s">
        <v>15</v>
      </c>
      <c r="B322" s="19" t="s">
        <v>524</v>
      </c>
      <c r="C322" s="19" t="s">
        <v>760</v>
      </c>
      <c r="D322" s="19" t="s">
        <v>891</v>
      </c>
      <c r="E322" s="20" t="s">
        <v>897</v>
      </c>
      <c r="F322" s="37" t="s">
        <v>291</v>
      </c>
      <c r="G322" s="23" t="s">
        <v>762</v>
      </c>
      <c r="H322" s="24" t="s">
        <v>23</v>
      </c>
      <c r="I322" s="19"/>
      <c r="J322" s="20"/>
    </row>
    <row r="323" ht="15.75" customHeight="1">
      <c r="A323" s="19" t="s">
        <v>15</v>
      </c>
      <c r="B323" s="19" t="s">
        <v>526</v>
      </c>
      <c r="C323" s="19" t="s">
        <v>768</v>
      </c>
      <c r="D323" s="19" t="s">
        <v>891</v>
      </c>
      <c r="E323" s="20" t="s">
        <v>898</v>
      </c>
      <c r="F323" s="37" t="s">
        <v>291</v>
      </c>
      <c r="G323" s="23" t="s">
        <v>762</v>
      </c>
      <c r="H323" s="24" t="s">
        <v>23</v>
      </c>
      <c r="I323" s="19"/>
      <c r="J323" s="20"/>
    </row>
    <row r="324" ht="15.75" customHeight="1">
      <c r="A324" s="19" t="s">
        <v>15</v>
      </c>
      <c r="B324" s="54" t="s">
        <v>532</v>
      </c>
      <c r="C324" s="54" t="s">
        <v>765</v>
      </c>
      <c r="D324" s="19" t="s">
        <v>891</v>
      </c>
      <c r="E324" s="20" t="s">
        <v>899</v>
      </c>
      <c r="F324" s="37" t="s">
        <v>291</v>
      </c>
      <c r="G324" s="23" t="s">
        <v>762</v>
      </c>
      <c r="H324" s="24" t="s">
        <v>23</v>
      </c>
      <c r="I324" s="55" t="s">
        <v>46</v>
      </c>
      <c r="J324" s="20" t="s">
        <v>767</v>
      </c>
    </row>
    <row r="325" ht="15.75" customHeight="1">
      <c r="A325" s="19" t="s">
        <v>15</v>
      </c>
      <c r="B325" s="54" t="s">
        <v>536</v>
      </c>
      <c r="C325" s="54" t="s">
        <v>788</v>
      </c>
      <c r="D325" s="19" t="s">
        <v>891</v>
      </c>
      <c r="E325" s="20" t="s">
        <v>789</v>
      </c>
      <c r="F325" s="37" t="s">
        <v>291</v>
      </c>
      <c r="G325" s="23" t="s">
        <v>762</v>
      </c>
      <c r="H325" s="24" t="s">
        <v>23</v>
      </c>
      <c r="I325" s="55" t="s">
        <v>46</v>
      </c>
      <c r="J325" s="20" t="s">
        <v>790</v>
      </c>
    </row>
    <row r="326" ht="15.75" customHeight="1">
      <c r="A326" s="19" t="s">
        <v>15</v>
      </c>
      <c r="B326" s="19" t="s">
        <v>557</v>
      </c>
      <c r="C326" s="19" t="s">
        <v>782</v>
      </c>
      <c r="D326" s="19" t="s">
        <v>891</v>
      </c>
      <c r="E326" s="20" t="s">
        <v>783</v>
      </c>
      <c r="F326" s="37" t="s">
        <v>291</v>
      </c>
      <c r="G326" s="23" t="s">
        <v>762</v>
      </c>
      <c r="H326" s="24" t="s">
        <v>23</v>
      </c>
      <c r="I326" s="19"/>
      <c r="J326" s="20"/>
    </row>
    <row r="327" ht="15.75" customHeight="1">
      <c r="A327" s="19" t="s">
        <v>15</v>
      </c>
      <c r="B327" s="54" t="s">
        <v>558</v>
      </c>
      <c r="C327" s="54" t="s">
        <v>784</v>
      </c>
      <c r="D327" s="19" t="s">
        <v>891</v>
      </c>
      <c r="E327" s="20" t="s">
        <v>785</v>
      </c>
      <c r="F327" s="37" t="s">
        <v>291</v>
      </c>
      <c r="G327" s="23" t="s">
        <v>762</v>
      </c>
      <c r="H327" s="24" t="s">
        <v>23</v>
      </c>
      <c r="I327" s="55" t="s">
        <v>46</v>
      </c>
      <c r="J327" s="20" t="s">
        <v>900</v>
      </c>
    </row>
    <row r="328" ht="15.75" customHeight="1">
      <c r="A328" s="19" t="s">
        <v>15</v>
      </c>
      <c r="B328" s="19" t="s">
        <v>561</v>
      </c>
      <c r="C328" s="19" t="s">
        <v>786</v>
      </c>
      <c r="D328" s="19" t="s">
        <v>891</v>
      </c>
      <c r="E328" s="20" t="s">
        <v>787</v>
      </c>
      <c r="F328" s="37" t="s">
        <v>291</v>
      </c>
      <c r="G328" s="23" t="s">
        <v>762</v>
      </c>
      <c r="H328" s="24" t="s">
        <v>23</v>
      </c>
      <c r="I328" s="19"/>
      <c r="J328" s="20"/>
    </row>
    <row r="329" ht="15.75" customHeight="1">
      <c r="A329" s="11" t="s">
        <v>15</v>
      </c>
      <c r="B329" s="11" t="s">
        <v>393</v>
      </c>
      <c r="C329" s="11" t="s">
        <v>705</v>
      </c>
      <c r="D329" s="11" t="s">
        <v>901</v>
      </c>
      <c r="E329" s="14" t="s">
        <v>707</v>
      </c>
      <c r="F329" s="37" t="s">
        <v>291</v>
      </c>
      <c r="G329" s="17" t="s">
        <v>708</v>
      </c>
      <c r="H329" s="24" t="s">
        <v>23</v>
      </c>
      <c r="I329" s="11"/>
      <c r="J329" s="14"/>
    </row>
    <row r="330" ht="15.75" customHeight="1">
      <c r="A330" s="11" t="s">
        <v>15</v>
      </c>
      <c r="B330" s="11" t="s">
        <v>548</v>
      </c>
      <c r="C330" s="11" t="s">
        <v>748</v>
      </c>
      <c r="D330" s="11" t="s">
        <v>901</v>
      </c>
      <c r="E330" s="14" t="s">
        <v>749</v>
      </c>
      <c r="F330" s="30" t="s">
        <v>88</v>
      </c>
      <c r="G330" s="17" t="s">
        <v>716</v>
      </c>
      <c r="H330" s="24" t="s">
        <v>23</v>
      </c>
      <c r="I330" s="11"/>
      <c r="J330" s="14"/>
    </row>
    <row r="331" ht="15.75" customHeight="1">
      <c r="A331" s="11" t="s">
        <v>15</v>
      </c>
      <c r="B331" s="11" t="s">
        <v>396</v>
      </c>
      <c r="C331" s="11" t="s">
        <v>709</v>
      </c>
      <c r="D331" s="11" t="s">
        <v>901</v>
      </c>
      <c r="E331" s="14" t="s">
        <v>710</v>
      </c>
      <c r="F331" s="22" t="s">
        <v>45</v>
      </c>
      <c r="G331" s="17" t="s">
        <v>711</v>
      </c>
      <c r="H331" s="24" t="s">
        <v>23</v>
      </c>
      <c r="I331" s="11"/>
      <c r="J331" s="14"/>
    </row>
    <row r="332" ht="15.75" customHeight="1">
      <c r="A332" s="11" t="s">
        <v>15</v>
      </c>
      <c r="B332" s="11" t="s">
        <v>400</v>
      </c>
      <c r="C332" s="11" t="s">
        <v>712</v>
      </c>
      <c r="D332" s="11" t="s">
        <v>901</v>
      </c>
      <c r="E332" s="14" t="s">
        <v>713</v>
      </c>
      <c r="F332" s="22" t="s">
        <v>45</v>
      </c>
      <c r="G332" s="17" t="s">
        <v>711</v>
      </c>
      <c r="H332" s="24" t="s">
        <v>23</v>
      </c>
      <c r="I332" s="11"/>
      <c r="J332" s="14"/>
    </row>
    <row r="333" ht="15.75" customHeight="1">
      <c r="A333" s="11" t="s">
        <v>15</v>
      </c>
      <c r="B333" s="11" t="s">
        <v>402</v>
      </c>
      <c r="C333" s="11" t="s">
        <v>714</v>
      </c>
      <c r="D333" s="11" t="s">
        <v>901</v>
      </c>
      <c r="E333" s="14" t="s">
        <v>715</v>
      </c>
      <c r="F333" s="30" t="s">
        <v>88</v>
      </c>
      <c r="G333" s="17" t="s">
        <v>716</v>
      </c>
      <c r="H333" s="24" t="s">
        <v>23</v>
      </c>
      <c r="I333" s="11"/>
      <c r="J333" s="14"/>
    </row>
    <row r="334" ht="15.75" customHeight="1">
      <c r="A334" s="11" t="s">
        <v>15</v>
      </c>
      <c r="B334" s="11" t="s">
        <v>516</v>
      </c>
      <c r="C334" s="11" t="s">
        <v>739</v>
      </c>
      <c r="D334" s="11" t="s">
        <v>901</v>
      </c>
      <c r="E334" s="14" t="s">
        <v>740</v>
      </c>
      <c r="F334" s="30" t="s">
        <v>88</v>
      </c>
      <c r="G334" s="17" t="s">
        <v>716</v>
      </c>
      <c r="H334" s="24" t="s">
        <v>23</v>
      </c>
      <c r="I334" s="11"/>
      <c r="J334" s="14"/>
    </row>
    <row r="335" ht="15.75" customHeight="1">
      <c r="A335" s="11" t="s">
        <v>15</v>
      </c>
      <c r="B335" s="11" t="s">
        <v>405</v>
      </c>
      <c r="C335" s="11" t="s">
        <v>717</v>
      </c>
      <c r="D335" s="11" t="s">
        <v>901</v>
      </c>
      <c r="E335" s="14" t="s">
        <v>718</v>
      </c>
      <c r="F335" s="30" t="s">
        <v>88</v>
      </c>
      <c r="G335" s="17" t="s">
        <v>716</v>
      </c>
      <c r="H335" s="24" t="s">
        <v>23</v>
      </c>
      <c r="I335" s="11"/>
      <c r="J335" s="14"/>
    </row>
    <row r="336" ht="15.75" customHeight="1">
      <c r="A336" s="11" t="s">
        <v>15</v>
      </c>
      <c r="B336" s="11" t="s">
        <v>410</v>
      </c>
      <c r="C336" s="11" t="s">
        <v>721</v>
      </c>
      <c r="D336" s="11" t="s">
        <v>901</v>
      </c>
      <c r="E336" s="14" t="s">
        <v>722</v>
      </c>
      <c r="F336" s="30" t="s">
        <v>88</v>
      </c>
      <c r="G336" s="17" t="s">
        <v>716</v>
      </c>
      <c r="H336" s="24" t="s">
        <v>23</v>
      </c>
      <c r="I336" s="11"/>
      <c r="J336" s="14"/>
    </row>
    <row r="337" ht="15.75" customHeight="1">
      <c r="A337" s="11" t="s">
        <v>15</v>
      </c>
      <c r="B337" s="11" t="s">
        <v>414</v>
      </c>
      <c r="C337" s="11" t="s">
        <v>723</v>
      </c>
      <c r="D337" s="11" t="s">
        <v>901</v>
      </c>
      <c r="E337" s="14" t="s">
        <v>724</v>
      </c>
      <c r="F337" s="30" t="s">
        <v>88</v>
      </c>
      <c r="G337" s="17" t="s">
        <v>716</v>
      </c>
      <c r="H337" s="24" t="s">
        <v>23</v>
      </c>
      <c r="I337" s="11"/>
      <c r="J337" s="14"/>
    </row>
    <row r="338" ht="15.75" customHeight="1">
      <c r="A338" s="11" t="s">
        <v>15</v>
      </c>
      <c r="B338" s="11" t="s">
        <v>562</v>
      </c>
      <c r="C338" s="11" t="s">
        <v>750</v>
      </c>
      <c r="D338" s="11" t="s">
        <v>901</v>
      </c>
      <c r="E338" s="14" t="s">
        <v>751</v>
      </c>
      <c r="F338" s="30" t="s">
        <v>88</v>
      </c>
      <c r="G338" s="17" t="s">
        <v>727</v>
      </c>
      <c r="H338" s="24" t="s">
        <v>23</v>
      </c>
      <c r="I338" s="11"/>
      <c r="J338" s="14"/>
    </row>
    <row r="339" ht="15.75" customHeight="1">
      <c r="A339" s="11" t="s">
        <v>15</v>
      </c>
      <c r="B339" s="11" t="s">
        <v>520</v>
      </c>
      <c r="C339" s="11" t="s">
        <v>741</v>
      </c>
      <c r="D339" s="11" t="s">
        <v>901</v>
      </c>
      <c r="E339" s="14" t="s">
        <v>742</v>
      </c>
      <c r="F339" s="30" t="s">
        <v>88</v>
      </c>
      <c r="G339" s="17" t="s">
        <v>727</v>
      </c>
      <c r="H339" s="24" t="s">
        <v>23</v>
      </c>
      <c r="I339" s="11"/>
      <c r="J339" s="14"/>
    </row>
    <row r="340" ht="15.75" customHeight="1">
      <c r="A340" s="11" t="s">
        <v>15</v>
      </c>
      <c r="B340" s="11" t="s">
        <v>564</v>
      </c>
      <c r="C340" s="11" t="s">
        <v>902</v>
      </c>
      <c r="D340" s="11" t="s">
        <v>901</v>
      </c>
      <c r="E340" s="14" t="s">
        <v>903</v>
      </c>
      <c r="F340" s="30" t="s">
        <v>88</v>
      </c>
      <c r="G340" s="17" t="s">
        <v>727</v>
      </c>
      <c r="H340" s="24" t="s">
        <v>23</v>
      </c>
      <c r="I340" s="11"/>
      <c r="J340" s="14"/>
    </row>
    <row r="341" ht="15.75" customHeight="1">
      <c r="A341" s="11" t="s">
        <v>15</v>
      </c>
      <c r="B341" s="11" t="s">
        <v>566</v>
      </c>
      <c r="C341" s="11" t="s">
        <v>904</v>
      </c>
      <c r="D341" s="11" t="s">
        <v>901</v>
      </c>
      <c r="E341" s="14" t="s">
        <v>905</v>
      </c>
      <c r="F341" s="30" t="s">
        <v>88</v>
      </c>
      <c r="G341" s="17" t="s">
        <v>727</v>
      </c>
      <c r="H341" s="24" t="s">
        <v>23</v>
      </c>
      <c r="I341" s="11"/>
      <c r="J341" s="14"/>
    </row>
    <row r="342" ht="15.75" customHeight="1">
      <c r="A342" s="11" t="s">
        <v>15</v>
      </c>
      <c r="B342" s="11" t="s">
        <v>521</v>
      </c>
      <c r="C342" s="11" t="s">
        <v>743</v>
      </c>
      <c r="D342" s="11" t="s">
        <v>901</v>
      </c>
      <c r="E342" s="14" t="s">
        <v>744</v>
      </c>
      <c r="F342" s="30" t="s">
        <v>88</v>
      </c>
      <c r="G342" s="17" t="s">
        <v>727</v>
      </c>
      <c r="H342" s="24" t="s">
        <v>23</v>
      </c>
      <c r="I342" s="11"/>
      <c r="J342" s="14"/>
    </row>
    <row r="343" ht="15.75" customHeight="1">
      <c r="A343" s="11" t="s">
        <v>15</v>
      </c>
      <c r="B343" s="11" t="s">
        <v>569</v>
      </c>
      <c r="C343" s="11" t="s">
        <v>906</v>
      </c>
      <c r="D343" s="11" t="s">
        <v>901</v>
      </c>
      <c r="E343" s="14" t="s">
        <v>907</v>
      </c>
      <c r="F343" s="30" t="s">
        <v>88</v>
      </c>
      <c r="G343" s="17" t="s">
        <v>727</v>
      </c>
      <c r="H343" s="24" t="s">
        <v>23</v>
      </c>
      <c r="I343" s="11"/>
      <c r="J343" s="14"/>
    </row>
    <row r="344" ht="15.75" customHeight="1">
      <c r="A344" s="11" t="s">
        <v>15</v>
      </c>
      <c r="B344" s="11" t="s">
        <v>525</v>
      </c>
      <c r="C344" s="11" t="s">
        <v>745</v>
      </c>
      <c r="D344" s="11" t="s">
        <v>901</v>
      </c>
      <c r="E344" s="14" t="s">
        <v>746</v>
      </c>
      <c r="F344" s="30" t="s">
        <v>88</v>
      </c>
      <c r="G344" s="17" t="s">
        <v>727</v>
      </c>
      <c r="H344" s="24" t="s">
        <v>23</v>
      </c>
      <c r="I344" s="11"/>
      <c r="J344" s="14"/>
    </row>
    <row r="345" ht="15.75" customHeight="1">
      <c r="A345" s="11" t="s">
        <v>15</v>
      </c>
      <c r="B345" s="52" t="s">
        <v>572</v>
      </c>
      <c r="C345" s="52" t="s">
        <v>908</v>
      </c>
      <c r="D345" s="11" t="s">
        <v>901</v>
      </c>
      <c r="E345" s="14" t="s">
        <v>909</v>
      </c>
      <c r="F345" s="30" t="s">
        <v>88</v>
      </c>
      <c r="G345" s="17" t="s">
        <v>727</v>
      </c>
      <c r="H345" s="24" t="s">
        <v>23</v>
      </c>
      <c r="I345" s="53" t="s">
        <v>46</v>
      </c>
      <c r="J345" s="14" t="s">
        <v>910</v>
      </c>
    </row>
    <row r="346" ht="15.75" customHeight="1">
      <c r="A346" s="11" t="s">
        <v>15</v>
      </c>
      <c r="B346" s="11" t="s">
        <v>481</v>
      </c>
      <c r="C346" s="11" t="s">
        <v>810</v>
      </c>
      <c r="D346" s="11" t="s">
        <v>901</v>
      </c>
      <c r="E346" s="14" t="s">
        <v>812</v>
      </c>
      <c r="F346" s="22" t="s">
        <v>45</v>
      </c>
      <c r="G346" s="17" t="s">
        <v>48</v>
      </c>
      <c r="H346" s="24" t="s">
        <v>23</v>
      </c>
      <c r="I346" s="11"/>
      <c r="J346" s="14"/>
    </row>
    <row r="347" ht="15.75" customHeight="1">
      <c r="A347" s="11" t="s">
        <v>15</v>
      </c>
      <c r="B347" s="11" t="s">
        <v>486</v>
      </c>
      <c r="C347" s="11" t="s">
        <v>815</v>
      </c>
      <c r="D347" s="11" t="s">
        <v>901</v>
      </c>
      <c r="E347" s="14" t="s">
        <v>816</v>
      </c>
      <c r="F347" s="22" t="s">
        <v>45</v>
      </c>
      <c r="G347" s="17" t="s">
        <v>48</v>
      </c>
      <c r="H347" s="24" t="s">
        <v>23</v>
      </c>
      <c r="I347" s="11"/>
      <c r="J347" s="14"/>
    </row>
    <row r="348" ht="15.75" customHeight="1">
      <c r="A348" s="11" t="s">
        <v>15</v>
      </c>
      <c r="B348" s="11" t="s">
        <v>487</v>
      </c>
      <c r="C348" s="11" t="s">
        <v>817</v>
      </c>
      <c r="D348" s="11" t="s">
        <v>901</v>
      </c>
      <c r="E348" s="14" t="s">
        <v>818</v>
      </c>
      <c r="F348" s="22" t="s">
        <v>45</v>
      </c>
      <c r="G348" s="17" t="s">
        <v>48</v>
      </c>
      <c r="H348" s="24" t="s">
        <v>23</v>
      </c>
      <c r="I348" s="11"/>
      <c r="J348" s="14"/>
    </row>
    <row r="349" ht="15.75" customHeight="1">
      <c r="A349" s="11" t="s">
        <v>15</v>
      </c>
      <c r="B349" s="11" t="s">
        <v>490</v>
      </c>
      <c r="C349" s="11" t="s">
        <v>819</v>
      </c>
      <c r="D349" s="11" t="s">
        <v>901</v>
      </c>
      <c r="E349" s="14" t="s">
        <v>820</v>
      </c>
      <c r="F349" s="22" t="s">
        <v>45</v>
      </c>
      <c r="G349" s="17" t="s">
        <v>48</v>
      </c>
      <c r="H349" s="24" t="s">
        <v>23</v>
      </c>
      <c r="I349" s="11"/>
      <c r="J349" s="14"/>
    </row>
    <row r="350" ht="15.75" customHeight="1">
      <c r="A350" s="11" t="s">
        <v>15</v>
      </c>
      <c r="B350" s="11" t="s">
        <v>491</v>
      </c>
      <c r="C350" s="11" t="s">
        <v>821</v>
      </c>
      <c r="D350" s="11" t="s">
        <v>901</v>
      </c>
      <c r="E350" s="14" t="s">
        <v>822</v>
      </c>
      <c r="F350" s="22" t="s">
        <v>45</v>
      </c>
      <c r="G350" s="17" t="s">
        <v>48</v>
      </c>
      <c r="H350" s="24" t="s">
        <v>23</v>
      </c>
      <c r="I350" s="11"/>
      <c r="J350" s="14"/>
    </row>
    <row r="351" ht="15.75" customHeight="1">
      <c r="A351" s="19" t="s">
        <v>15</v>
      </c>
      <c r="B351" s="19" t="s">
        <v>345</v>
      </c>
      <c r="C351" s="19" t="s">
        <v>626</v>
      </c>
      <c r="D351" s="19" t="s">
        <v>911</v>
      </c>
      <c r="E351" s="20" t="s">
        <v>627</v>
      </c>
      <c r="F351" s="37" t="s">
        <v>291</v>
      </c>
      <c r="G351" s="23" t="s">
        <v>533</v>
      </c>
      <c r="H351" s="24" t="s">
        <v>23</v>
      </c>
      <c r="I351" s="19"/>
      <c r="J351" s="20"/>
    </row>
    <row r="352" ht="15.75" customHeight="1">
      <c r="A352" s="19" t="s">
        <v>15</v>
      </c>
      <c r="B352" s="19" t="s">
        <v>349</v>
      </c>
      <c r="C352" s="19" t="s">
        <v>630</v>
      </c>
      <c r="D352" s="19" t="s">
        <v>911</v>
      </c>
      <c r="E352" s="20" t="s">
        <v>631</v>
      </c>
      <c r="F352" s="37" t="s">
        <v>291</v>
      </c>
      <c r="G352" s="23" t="s">
        <v>533</v>
      </c>
      <c r="H352" s="24" t="s">
        <v>23</v>
      </c>
      <c r="I352" s="19"/>
      <c r="J352" s="20"/>
    </row>
    <row r="353" ht="15.75" customHeight="1">
      <c r="A353" s="19" t="s">
        <v>15</v>
      </c>
      <c r="B353" s="19" t="s">
        <v>354</v>
      </c>
      <c r="C353" s="19" t="s">
        <v>636</v>
      </c>
      <c r="D353" s="19" t="s">
        <v>911</v>
      </c>
      <c r="E353" s="20" t="s">
        <v>637</v>
      </c>
      <c r="F353" s="37" t="s">
        <v>291</v>
      </c>
      <c r="G353" s="23" t="s">
        <v>533</v>
      </c>
      <c r="H353" s="24" t="s">
        <v>23</v>
      </c>
      <c r="I353" s="19"/>
      <c r="J353" s="20"/>
    </row>
    <row r="354" ht="15.75" customHeight="1">
      <c r="A354" s="19" t="s">
        <v>15</v>
      </c>
      <c r="B354" s="19" t="s">
        <v>527</v>
      </c>
      <c r="C354" s="19" t="s">
        <v>651</v>
      </c>
      <c r="D354" s="19" t="s">
        <v>911</v>
      </c>
      <c r="E354" s="20" t="s">
        <v>652</v>
      </c>
      <c r="F354" s="30" t="s">
        <v>88</v>
      </c>
      <c r="G354" s="23" t="s">
        <v>642</v>
      </c>
      <c r="H354" s="24" t="s">
        <v>23</v>
      </c>
      <c r="I354" s="19"/>
      <c r="J354" s="20"/>
    </row>
    <row r="355" ht="15.75" customHeight="1">
      <c r="A355" s="19" t="s">
        <v>15</v>
      </c>
      <c r="B355" s="19" t="s">
        <v>360</v>
      </c>
      <c r="C355" s="19" t="s">
        <v>648</v>
      </c>
      <c r="D355" s="19" t="s">
        <v>911</v>
      </c>
      <c r="E355" s="20" t="s">
        <v>649</v>
      </c>
      <c r="F355" s="30" t="s">
        <v>88</v>
      </c>
      <c r="G355" s="23" t="s">
        <v>642</v>
      </c>
      <c r="H355" s="24" t="s">
        <v>23</v>
      </c>
      <c r="I355" s="19"/>
      <c r="J355" s="20"/>
    </row>
    <row r="356" ht="15.75" customHeight="1">
      <c r="A356" s="19" t="s">
        <v>15</v>
      </c>
      <c r="B356" s="19" t="s">
        <v>529</v>
      </c>
      <c r="C356" s="19" t="s">
        <v>653</v>
      </c>
      <c r="D356" s="19" t="s">
        <v>911</v>
      </c>
      <c r="E356" s="20" t="s">
        <v>654</v>
      </c>
      <c r="F356" s="30" t="s">
        <v>88</v>
      </c>
      <c r="G356" s="23" t="s">
        <v>642</v>
      </c>
      <c r="H356" s="24" t="s">
        <v>23</v>
      </c>
      <c r="I356" s="19"/>
      <c r="J356" s="20"/>
    </row>
    <row r="357" ht="15.75" customHeight="1">
      <c r="A357" s="19" t="s">
        <v>15</v>
      </c>
      <c r="B357" s="19" t="s">
        <v>341</v>
      </c>
      <c r="C357" s="19" t="s">
        <v>622</v>
      </c>
      <c r="D357" s="19" t="s">
        <v>911</v>
      </c>
      <c r="E357" s="20" t="s">
        <v>623</v>
      </c>
      <c r="F357" s="37" t="s">
        <v>291</v>
      </c>
      <c r="G357" s="23" t="s">
        <v>533</v>
      </c>
      <c r="H357" s="24" t="s">
        <v>23</v>
      </c>
      <c r="I357" s="19"/>
      <c r="J357" s="20"/>
    </row>
    <row r="358" ht="15.75" customHeight="1">
      <c r="A358" s="19" t="s">
        <v>15</v>
      </c>
      <c r="B358" s="19" t="s">
        <v>534</v>
      </c>
      <c r="C358" s="19" t="s">
        <v>655</v>
      </c>
      <c r="D358" s="19" t="s">
        <v>911</v>
      </c>
      <c r="E358" s="20" t="s">
        <v>656</v>
      </c>
      <c r="F358" s="37" t="s">
        <v>291</v>
      </c>
      <c r="G358" s="23" t="s">
        <v>533</v>
      </c>
      <c r="H358" s="24" t="s">
        <v>23</v>
      </c>
      <c r="I358" s="19"/>
      <c r="J358" s="20"/>
    </row>
    <row r="359" ht="15.75" customHeight="1">
      <c r="A359" s="19" t="s">
        <v>15</v>
      </c>
      <c r="B359" s="19" t="s">
        <v>535</v>
      </c>
      <c r="C359" s="19" t="s">
        <v>657</v>
      </c>
      <c r="D359" s="19" t="s">
        <v>911</v>
      </c>
      <c r="E359" s="20" t="s">
        <v>658</v>
      </c>
      <c r="F359" s="37" t="s">
        <v>291</v>
      </c>
      <c r="G359" s="23" t="s">
        <v>533</v>
      </c>
      <c r="H359" s="24" t="s">
        <v>23</v>
      </c>
      <c r="I359" s="19"/>
      <c r="J359" s="20"/>
    </row>
    <row r="360" ht="15.75" customHeight="1">
      <c r="A360" s="19" t="s">
        <v>15</v>
      </c>
      <c r="B360" s="19" t="s">
        <v>539</v>
      </c>
      <c r="C360" s="19" t="s">
        <v>659</v>
      </c>
      <c r="D360" s="19" t="s">
        <v>911</v>
      </c>
      <c r="E360" s="20" t="s">
        <v>660</v>
      </c>
      <c r="F360" s="37" t="s">
        <v>291</v>
      </c>
      <c r="G360" s="23" t="s">
        <v>533</v>
      </c>
      <c r="H360" s="24" t="s">
        <v>23</v>
      </c>
      <c r="I360" s="19"/>
      <c r="J360" s="20"/>
    </row>
    <row r="361" ht="15.75" customHeight="1">
      <c r="A361" s="19" t="s">
        <v>15</v>
      </c>
      <c r="B361" s="19" t="s">
        <v>541</v>
      </c>
      <c r="C361" s="19" t="s">
        <v>661</v>
      </c>
      <c r="D361" s="19" t="s">
        <v>911</v>
      </c>
      <c r="E361" s="20" t="s">
        <v>662</v>
      </c>
      <c r="F361" s="37" t="s">
        <v>291</v>
      </c>
      <c r="G361" s="23" t="s">
        <v>533</v>
      </c>
      <c r="H361" s="24" t="s">
        <v>23</v>
      </c>
      <c r="I361" s="19"/>
      <c r="J361" s="20"/>
    </row>
    <row r="362" ht="15.75" customHeight="1">
      <c r="A362" s="19" t="s">
        <v>15</v>
      </c>
      <c r="B362" s="19" t="s">
        <v>545</v>
      </c>
      <c r="C362" s="19" t="s">
        <v>663</v>
      </c>
      <c r="D362" s="19" t="s">
        <v>911</v>
      </c>
      <c r="E362" s="20" t="s">
        <v>664</v>
      </c>
      <c r="F362" s="37" t="s">
        <v>291</v>
      </c>
      <c r="G362" s="23" t="s">
        <v>533</v>
      </c>
      <c r="H362" s="24" t="s">
        <v>23</v>
      </c>
      <c r="I362" s="19"/>
      <c r="J362" s="20"/>
    </row>
    <row r="363" ht="15.75" customHeight="1">
      <c r="A363" s="19" t="s">
        <v>15</v>
      </c>
      <c r="B363" s="19" t="s">
        <v>547</v>
      </c>
      <c r="C363" s="19" t="s">
        <v>665</v>
      </c>
      <c r="D363" s="19" t="s">
        <v>911</v>
      </c>
      <c r="E363" s="20" t="s">
        <v>666</v>
      </c>
      <c r="F363" s="37" t="s">
        <v>291</v>
      </c>
      <c r="G363" s="23" t="s">
        <v>533</v>
      </c>
      <c r="H363" s="24" t="s">
        <v>23</v>
      </c>
      <c r="I363" s="19"/>
      <c r="J363" s="20"/>
    </row>
    <row r="364" ht="15.75" customHeight="1">
      <c r="A364" s="19" t="s">
        <v>15</v>
      </c>
      <c r="B364" s="19" t="s">
        <v>549</v>
      </c>
      <c r="C364" s="19" t="s">
        <v>667</v>
      </c>
      <c r="D364" s="19" t="s">
        <v>911</v>
      </c>
      <c r="E364" s="20" t="s">
        <v>668</v>
      </c>
      <c r="F364" s="37" t="s">
        <v>291</v>
      </c>
      <c r="G364" s="23" t="s">
        <v>533</v>
      </c>
      <c r="H364" s="24" t="s">
        <v>23</v>
      </c>
      <c r="I364" s="19"/>
      <c r="J364" s="20"/>
    </row>
    <row r="365" ht="15.75" customHeight="1">
      <c r="A365" s="19" t="s">
        <v>15</v>
      </c>
      <c r="B365" s="19" t="s">
        <v>552</v>
      </c>
      <c r="C365" s="19" t="s">
        <v>669</v>
      </c>
      <c r="D365" s="19" t="s">
        <v>911</v>
      </c>
      <c r="E365" s="20" t="s">
        <v>670</v>
      </c>
      <c r="F365" s="37" t="s">
        <v>291</v>
      </c>
      <c r="G365" s="23" t="s">
        <v>533</v>
      </c>
      <c r="H365" s="24" t="s">
        <v>23</v>
      </c>
      <c r="I365" s="19"/>
      <c r="J365" s="20"/>
    </row>
    <row r="366" ht="15.75" customHeight="1">
      <c r="A366" s="19" t="s">
        <v>15</v>
      </c>
      <c r="B366" s="19" t="s">
        <v>553</v>
      </c>
      <c r="C366" s="19" t="s">
        <v>671</v>
      </c>
      <c r="D366" s="19" t="s">
        <v>911</v>
      </c>
      <c r="E366" s="20" t="s">
        <v>672</v>
      </c>
      <c r="F366" s="37" t="s">
        <v>291</v>
      </c>
      <c r="G366" s="23" t="s">
        <v>533</v>
      </c>
      <c r="H366" s="24" t="s">
        <v>23</v>
      </c>
      <c r="I366" s="19"/>
      <c r="J366" s="20"/>
    </row>
    <row r="367" ht="15.75" customHeight="1">
      <c r="A367" s="19" t="s">
        <v>15</v>
      </c>
      <c r="B367" s="19" t="s">
        <v>638</v>
      </c>
      <c r="C367" s="19" t="s">
        <v>528</v>
      </c>
      <c r="D367" s="19" t="s">
        <v>911</v>
      </c>
      <c r="E367" s="20" t="s">
        <v>531</v>
      </c>
      <c r="F367" s="37" t="s">
        <v>291</v>
      </c>
      <c r="G367" s="23" t="s">
        <v>533</v>
      </c>
      <c r="H367" s="24" t="s">
        <v>23</v>
      </c>
      <c r="I367" s="19"/>
      <c r="J367" s="20"/>
    </row>
    <row r="368" ht="15.75" customHeight="1">
      <c r="A368" s="19" t="s">
        <v>15</v>
      </c>
      <c r="B368" s="19" t="s">
        <v>639</v>
      </c>
      <c r="C368" s="19" t="s">
        <v>563</v>
      </c>
      <c r="D368" s="19" t="s">
        <v>911</v>
      </c>
      <c r="E368" s="20" t="s">
        <v>565</v>
      </c>
      <c r="F368" s="37" t="s">
        <v>291</v>
      </c>
      <c r="G368" s="23" t="s">
        <v>533</v>
      </c>
      <c r="H368" s="24" t="s">
        <v>23</v>
      </c>
      <c r="I368" s="19"/>
      <c r="J368" s="20"/>
    </row>
    <row r="369" ht="15.75" customHeight="1">
      <c r="A369" s="19" t="s">
        <v>15</v>
      </c>
      <c r="B369" s="19" t="s">
        <v>643</v>
      </c>
      <c r="C369" s="19" t="s">
        <v>573</v>
      </c>
      <c r="D369" s="19" t="s">
        <v>911</v>
      </c>
      <c r="E369" s="20" t="s">
        <v>574</v>
      </c>
      <c r="F369" s="37" t="s">
        <v>291</v>
      </c>
      <c r="G369" s="23" t="s">
        <v>533</v>
      </c>
      <c r="H369" s="24" t="s">
        <v>23</v>
      </c>
      <c r="I369" s="19"/>
      <c r="J369" s="20"/>
    </row>
    <row r="370" ht="15.75" customHeight="1">
      <c r="A370" s="19" t="s">
        <v>15</v>
      </c>
      <c r="B370" s="19" t="s">
        <v>644</v>
      </c>
      <c r="C370" s="19" t="s">
        <v>567</v>
      </c>
      <c r="D370" s="19" t="s">
        <v>911</v>
      </c>
      <c r="E370" s="20" t="s">
        <v>568</v>
      </c>
      <c r="F370" s="37" t="s">
        <v>291</v>
      </c>
      <c r="G370" s="23" t="s">
        <v>533</v>
      </c>
      <c r="H370" s="24" t="s">
        <v>23</v>
      </c>
      <c r="I370" s="19"/>
      <c r="J370" s="20"/>
    </row>
    <row r="371" ht="15.75" customHeight="1">
      <c r="A371" s="11" t="s">
        <v>15</v>
      </c>
      <c r="B371" s="11" t="s">
        <v>540</v>
      </c>
      <c r="C371" s="11" t="s">
        <v>842</v>
      </c>
      <c r="D371" s="11" t="s">
        <v>912</v>
      </c>
      <c r="E371" s="14" t="s">
        <v>843</v>
      </c>
      <c r="F371" s="30" t="s">
        <v>88</v>
      </c>
      <c r="G371" s="17" t="s">
        <v>837</v>
      </c>
      <c r="H371" s="24" t="s">
        <v>23</v>
      </c>
      <c r="I371" s="11"/>
      <c r="J371" s="14"/>
    </row>
    <row r="372" ht="15.75" customHeight="1">
      <c r="A372" s="11" t="s">
        <v>15</v>
      </c>
      <c r="B372" s="11" t="s">
        <v>542</v>
      </c>
      <c r="C372" s="11" t="s">
        <v>844</v>
      </c>
      <c r="D372" s="11" t="s">
        <v>912</v>
      </c>
      <c r="E372" s="14" t="s">
        <v>845</v>
      </c>
      <c r="F372" s="30" t="s">
        <v>88</v>
      </c>
      <c r="G372" s="17" t="s">
        <v>837</v>
      </c>
      <c r="H372" s="24" t="s">
        <v>23</v>
      </c>
      <c r="I372" s="11"/>
      <c r="J372" s="14"/>
    </row>
    <row r="373" ht="15.75" customHeight="1">
      <c r="A373" s="11" t="s">
        <v>15</v>
      </c>
      <c r="B373" s="11" t="s">
        <v>544</v>
      </c>
      <c r="C373" s="11" t="s">
        <v>846</v>
      </c>
      <c r="D373" s="11" t="s">
        <v>912</v>
      </c>
      <c r="E373" s="14" t="s">
        <v>847</v>
      </c>
      <c r="F373" s="30" t="s">
        <v>88</v>
      </c>
      <c r="G373" s="17" t="s">
        <v>837</v>
      </c>
      <c r="H373" s="24" t="s">
        <v>23</v>
      </c>
      <c r="I373" s="11"/>
      <c r="J373" s="14"/>
    </row>
    <row r="374" ht="15.75" customHeight="1">
      <c r="A374" s="11" t="s">
        <v>15</v>
      </c>
      <c r="B374" s="11" t="s">
        <v>475</v>
      </c>
      <c r="C374" s="11" t="s">
        <v>834</v>
      </c>
      <c r="D374" s="11" t="s">
        <v>912</v>
      </c>
      <c r="E374" s="14" t="s">
        <v>836</v>
      </c>
      <c r="F374" s="30" t="s">
        <v>88</v>
      </c>
      <c r="G374" s="17" t="s">
        <v>837</v>
      </c>
      <c r="H374" s="24" t="s">
        <v>23</v>
      </c>
      <c r="I374" s="11"/>
      <c r="J374" s="14"/>
    </row>
    <row r="375" ht="15.75" customHeight="1">
      <c r="A375" s="18" t="s">
        <v>913</v>
      </c>
      <c r="B375" s="56" t="s">
        <v>914</v>
      </c>
      <c r="C375" s="57" t="s">
        <v>915</v>
      </c>
      <c r="D375" s="18" t="s">
        <v>916</v>
      </c>
      <c r="E375" s="58" t="s">
        <v>917</v>
      </c>
      <c r="F375" s="37" t="s">
        <v>291</v>
      </c>
      <c r="G375" s="59" t="s">
        <v>918</v>
      </c>
      <c r="H375" s="24" t="s">
        <v>23</v>
      </c>
      <c r="I375" s="60" t="s">
        <v>46</v>
      </c>
      <c r="J375" s="58" t="s">
        <v>919</v>
      </c>
      <c r="K375" s="58" t="s">
        <v>920</v>
      </c>
    </row>
    <row r="376" ht="15.75" customHeight="1">
      <c r="A376" s="18" t="s">
        <v>913</v>
      </c>
      <c r="B376" s="56" t="s">
        <v>921</v>
      </c>
      <c r="C376" s="57" t="s">
        <v>922</v>
      </c>
      <c r="D376" s="18" t="s">
        <v>916</v>
      </c>
      <c r="E376" s="58" t="s">
        <v>923</v>
      </c>
      <c r="F376" s="37" t="s">
        <v>291</v>
      </c>
      <c r="G376" s="59" t="s">
        <v>918</v>
      </c>
      <c r="H376" s="24" t="s">
        <v>23</v>
      </c>
      <c r="I376" s="60" t="s">
        <v>46</v>
      </c>
      <c r="J376" s="58" t="s">
        <v>924</v>
      </c>
      <c r="K376" s="58" t="s">
        <v>925</v>
      </c>
    </row>
    <row r="377" ht="15.75" customHeight="1">
      <c r="A377" s="18" t="s">
        <v>913</v>
      </c>
      <c r="B377" s="56" t="s">
        <v>926</v>
      </c>
      <c r="C377" s="57" t="s">
        <v>927</v>
      </c>
      <c r="D377" s="18" t="s">
        <v>916</v>
      </c>
      <c r="E377" s="58" t="s">
        <v>928</v>
      </c>
      <c r="F377" s="37" t="s">
        <v>291</v>
      </c>
      <c r="G377" s="59" t="s">
        <v>918</v>
      </c>
      <c r="H377" s="24" t="s">
        <v>23</v>
      </c>
      <c r="I377" s="60" t="s">
        <v>46</v>
      </c>
      <c r="J377" s="58" t="s">
        <v>929</v>
      </c>
      <c r="K377" s="58" t="s">
        <v>930</v>
      </c>
    </row>
    <row r="378" ht="15.75" customHeight="1">
      <c r="A378" s="18" t="s">
        <v>913</v>
      </c>
      <c r="B378" s="56" t="s">
        <v>931</v>
      </c>
      <c r="C378" s="57" t="s">
        <v>932</v>
      </c>
      <c r="D378" s="18" t="s">
        <v>916</v>
      </c>
      <c r="E378" s="58" t="s">
        <v>933</v>
      </c>
      <c r="F378" s="37" t="s">
        <v>291</v>
      </c>
      <c r="G378" s="59" t="s">
        <v>918</v>
      </c>
      <c r="H378" s="24" t="s">
        <v>23</v>
      </c>
      <c r="I378" s="60" t="s">
        <v>46</v>
      </c>
      <c r="J378" s="58" t="s">
        <v>934</v>
      </c>
      <c r="K378" s="58" t="s">
        <v>930</v>
      </c>
    </row>
    <row r="379" ht="15.75" customHeight="1">
      <c r="F379" s="61"/>
      <c r="G379" s="61"/>
    </row>
    <row r="380" ht="15.75" customHeight="1">
      <c r="A380" s="62" t="s">
        <v>935</v>
      </c>
      <c r="B380" s="63"/>
      <c r="C380" s="63"/>
      <c r="D380" s="63"/>
      <c r="E380" s="63"/>
      <c r="F380" s="61"/>
      <c r="G380" s="61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</row>
    <row r="381" ht="15.75" customHeight="1">
      <c r="A381" s="4" t="s">
        <v>936</v>
      </c>
      <c r="F381" s="61"/>
      <c r="G381" s="61"/>
    </row>
    <row r="382" ht="15.75" customHeight="1">
      <c r="A382" s="4" t="s">
        <v>937</v>
      </c>
      <c r="F382" s="61"/>
      <c r="G382" s="61"/>
    </row>
    <row r="383" ht="15.75" customHeight="1">
      <c r="A383" s="64" t="s">
        <v>938</v>
      </c>
      <c r="B383" s="65"/>
      <c r="C383" s="65"/>
      <c r="D383" s="65"/>
      <c r="E383" s="65"/>
      <c r="F383" s="61"/>
      <c r="G383" s="61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</row>
    <row r="384" ht="15.75" customHeight="1">
      <c r="A384" s="66" t="s">
        <v>939</v>
      </c>
      <c r="B384" s="67"/>
      <c r="C384" s="67"/>
      <c r="D384" s="67"/>
      <c r="E384" s="67"/>
      <c r="F384" s="61"/>
      <c r="G384" s="61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</row>
    <row r="385" ht="15.75" customHeight="1">
      <c r="A385" s="68" t="s">
        <v>940</v>
      </c>
      <c r="F385" s="61"/>
      <c r="G385" s="61"/>
    </row>
    <row r="386" ht="15.75" customHeight="1">
      <c r="A386" s="68" t="s">
        <v>941</v>
      </c>
      <c r="F386" s="61"/>
      <c r="G386" s="61"/>
    </row>
    <row r="387" ht="15.75" customHeight="1">
      <c r="A387" s="68" t="s">
        <v>942</v>
      </c>
      <c r="F387" s="61"/>
      <c r="G387" s="61"/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78"/>
  <hyperlinks>
    <hyperlink r:id="rId1" ref="B375"/>
    <hyperlink r:id="rId2" ref="B376"/>
    <hyperlink r:id="rId3" ref="B377"/>
    <hyperlink r:id="rId4" ref="B378"/>
  </hyperlinks>
  <printOptions/>
  <pageMargins bottom="1.0" footer="0.0" header="0.0" left="0.75" right="0.75" top="1.0"/>
  <pageSetup paperSize="9" orientation="portrait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24.0"/>
    <col customWidth="1" min="4" max="4" width="12.0"/>
    <col customWidth="1" min="5" max="26" width="8.71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F1" s="4" t="s">
        <v>10</v>
      </c>
    </row>
    <row r="2">
      <c r="A2" s="5" t="s">
        <v>2</v>
      </c>
      <c r="B2" s="5" t="s">
        <v>14</v>
      </c>
      <c r="C2" s="7" t="s">
        <v>16</v>
      </c>
      <c r="D2" s="9"/>
    </row>
    <row r="3">
      <c r="A3" s="5" t="s">
        <v>2</v>
      </c>
      <c r="B3" s="5" t="s">
        <v>22</v>
      </c>
      <c r="C3" s="10" t="s">
        <v>23</v>
      </c>
      <c r="D3" s="9"/>
    </row>
    <row r="4">
      <c r="A4" s="5" t="s">
        <v>2</v>
      </c>
      <c r="B4" s="5" t="s">
        <v>24</v>
      </c>
      <c r="C4" s="12" t="s">
        <v>25</v>
      </c>
      <c r="D4" s="9"/>
    </row>
    <row r="5">
      <c r="A5" s="5" t="s">
        <v>2</v>
      </c>
      <c r="B5" s="5" t="s">
        <v>30</v>
      </c>
      <c r="C5" s="7" t="s">
        <v>16</v>
      </c>
      <c r="D5" s="9"/>
    </row>
    <row r="6">
      <c r="A6" s="5" t="s">
        <v>2</v>
      </c>
      <c r="B6" s="5" t="s">
        <v>31</v>
      </c>
      <c r="C6" s="12" t="s">
        <v>25</v>
      </c>
      <c r="D6" s="9"/>
    </row>
    <row r="7">
      <c r="A7" s="5" t="s">
        <v>2</v>
      </c>
      <c r="B7" s="5" t="s">
        <v>33</v>
      </c>
      <c r="C7" s="16" t="s">
        <v>34</v>
      </c>
      <c r="D7" s="9"/>
    </row>
    <row r="8">
      <c r="A8" s="5" t="s">
        <v>2</v>
      </c>
      <c r="B8" s="5" t="s">
        <v>36</v>
      </c>
      <c r="C8" s="10" t="s">
        <v>23</v>
      </c>
      <c r="D8" s="9"/>
    </row>
    <row r="9">
      <c r="A9" s="5" t="s">
        <v>2</v>
      </c>
      <c r="B9" s="5" t="s">
        <v>40</v>
      </c>
      <c r="C9" s="10" t="s">
        <v>23</v>
      </c>
      <c r="D9" s="9"/>
    </row>
    <row r="10">
      <c r="A10" s="5" t="s">
        <v>2</v>
      </c>
      <c r="B10" s="5" t="s">
        <v>42</v>
      </c>
      <c r="C10" s="21" t="s">
        <v>44</v>
      </c>
      <c r="D10" s="9" t="s">
        <v>46</v>
      </c>
    </row>
    <row r="11">
      <c r="A11" s="5" t="s">
        <v>2</v>
      </c>
      <c r="B11" s="5" t="s">
        <v>47</v>
      </c>
      <c r="C11" s="10" t="s">
        <v>23</v>
      </c>
      <c r="D11" s="9"/>
    </row>
    <row r="12">
      <c r="A12" s="5" t="s">
        <v>2</v>
      </c>
      <c r="B12" s="5" t="s">
        <v>49</v>
      </c>
      <c r="C12" s="21" t="s">
        <v>44</v>
      </c>
      <c r="D12" s="9"/>
    </row>
    <row r="13">
      <c r="A13" s="5" t="s">
        <v>2</v>
      </c>
      <c r="B13" s="5" t="s">
        <v>50</v>
      </c>
      <c r="C13" s="7" t="s">
        <v>16</v>
      </c>
      <c r="D13" s="9"/>
    </row>
    <row r="14">
      <c r="A14" s="5" t="s">
        <v>11</v>
      </c>
      <c r="B14" s="5" t="s">
        <v>54</v>
      </c>
      <c r="C14" s="25" t="s">
        <v>56</v>
      </c>
      <c r="D14" s="9"/>
    </row>
    <row r="15">
      <c r="A15" s="5" t="s">
        <v>11</v>
      </c>
      <c r="B15" s="5" t="s">
        <v>61</v>
      </c>
      <c r="C15" s="26" t="s">
        <v>27</v>
      </c>
      <c r="D15" s="9"/>
    </row>
    <row r="16">
      <c r="A16" s="5" t="s">
        <v>11</v>
      </c>
      <c r="B16" s="5" t="s">
        <v>64</v>
      </c>
      <c r="C16" s="25" t="s">
        <v>56</v>
      </c>
      <c r="D16" s="9"/>
    </row>
    <row r="17">
      <c r="A17" s="5" t="s">
        <v>11</v>
      </c>
      <c r="B17" s="5" t="s">
        <v>68</v>
      </c>
      <c r="C17" s="25" t="s">
        <v>56</v>
      </c>
      <c r="D17" s="9"/>
    </row>
    <row r="18">
      <c r="A18" s="5" t="s">
        <v>11</v>
      </c>
      <c r="B18" s="5" t="s">
        <v>69</v>
      </c>
      <c r="C18" s="26" t="s">
        <v>27</v>
      </c>
      <c r="D18" s="9"/>
    </row>
    <row r="19">
      <c r="A19" s="5" t="s">
        <v>11</v>
      </c>
      <c r="B19" s="5" t="s">
        <v>70</v>
      </c>
      <c r="C19" s="12" t="s">
        <v>25</v>
      </c>
      <c r="D19" s="9"/>
    </row>
    <row r="20">
      <c r="A20" s="5" t="s">
        <v>13</v>
      </c>
      <c r="B20" s="5" t="s">
        <v>26</v>
      </c>
      <c r="C20" s="26" t="s">
        <v>27</v>
      </c>
      <c r="D20" s="9"/>
    </row>
    <row r="21" ht="15.75" customHeight="1">
      <c r="A21" s="5" t="s">
        <v>13</v>
      </c>
      <c r="B21" s="5" t="s">
        <v>37</v>
      </c>
      <c r="C21" s="10" t="s">
        <v>23</v>
      </c>
      <c r="D21" s="9"/>
    </row>
    <row r="22" ht="15.75" customHeight="1">
      <c r="A22" s="5" t="s">
        <v>13</v>
      </c>
      <c r="B22" s="5" t="s">
        <v>51</v>
      </c>
      <c r="C22" s="10" t="s">
        <v>23</v>
      </c>
      <c r="D22" s="9"/>
    </row>
    <row r="23" ht="15.75" customHeight="1">
      <c r="A23" s="5" t="s">
        <v>13</v>
      </c>
      <c r="B23" s="5" t="s">
        <v>55</v>
      </c>
      <c r="C23" s="10" t="s">
        <v>23</v>
      </c>
      <c r="D23" s="9"/>
    </row>
    <row r="24" ht="15.75" customHeight="1">
      <c r="A24" s="5" t="s">
        <v>13</v>
      </c>
      <c r="B24" s="5" t="s">
        <v>59</v>
      </c>
      <c r="C24" s="10" t="s">
        <v>23</v>
      </c>
      <c r="D24" s="9"/>
    </row>
    <row r="25" ht="15.75" customHeight="1">
      <c r="A25" s="5" t="s">
        <v>13</v>
      </c>
      <c r="B25" s="5" t="s">
        <v>63</v>
      </c>
      <c r="C25" s="10" t="s">
        <v>23</v>
      </c>
      <c r="D25" s="9"/>
    </row>
    <row r="26" ht="15.75" customHeight="1">
      <c r="A26" s="5" t="s">
        <v>13</v>
      </c>
      <c r="B26" s="5" t="s">
        <v>71</v>
      </c>
      <c r="C26" s="10" t="s">
        <v>23</v>
      </c>
      <c r="D26" s="9"/>
    </row>
    <row r="27" ht="15.75" customHeight="1">
      <c r="A27" s="5" t="s">
        <v>13</v>
      </c>
      <c r="B27" s="5" t="s">
        <v>76</v>
      </c>
      <c r="C27" s="10" t="s">
        <v>23</v>
      </c>
      <c r="D27" s="9"/>
    </row>
    <row r="28" ht="15.75" customHeight="1">
      <c r="A28" s="5" t="s">
        <v>13</v>
      </c>
      <c r="B28" s="5" t="s">
        <v>79</v>
      </c>
      <c r="C28" s="10" t="s">
        <v>23</v>
      </c>
      <c r="D28" s="9"/>
    </row>
    <row r="29" ht="15.75" customHeight="1">
      <c r="A29" s="5" t="s">
        <v>13</v>
      </c>
      <c r="B29" s="5" t="s">
        <v>82</v>
      </c>
      <c r="C29" s="10" t="s">
        <v>23</v>
      </c>
      <c r="D29" s="9"/>
    </row>
    <row r="30" ht="15.75" customHeight="1">
      <c r="A30" s="5" t="s">
        <v>13</v>
      </c>
      <c r="B30" s="5" t="s">
        <v>85</v>
      </c>
      <c r="C30" s="10" t="s">
        <v>23</v>
      </c>
      <c r="D30" s="9"/>
    </row>
    <row r="31" ht="15.75" customHeight="1">
      <c r="A31" s="5" t="s">
        <v>13</v>
      </c>
      <c r="B31" s="5" t="s">
        <v>90</v>
      </c>
      <c r="C31" s="10" t="s">
        <v>23</v>
      </c>
      <c r="D31" s="9"/>
    </row>
    <row r="32" ht="15.75" customHeight="1">
      <c r="A32" s="5" t="s">
        <v>13</v>
      </c>
      <c r="B32" s="5" t="s">
        <v>93</v>
      </c>
      <c r="C32" s="10" t="s">
        <v>23</v>
      </c>
      <c r="D32" s="9"/>
    </row>
    <row r="33" ht="15.75" customHeight="1">
      <c r="A33" s="5" t="s">
        <v>13</v>
      </c>
      <c r="B33" s="5" t="s">
        <v>96</v>
      </c>
      <c r="C33" s="10" t="s">
        <v>23</v>
      </c>
      <c r="D33" s="9"/>
    </row>
    <row r="34" ht="15.75" customHeight="1">
      <c r="A34" s="5" t="s">
        <v>13</v>
      </c>
      <c r="B34" s="5" t="s">
        <v>99</v>
      </c>
      <c r="C34" s="10" t="s">
        <v>23</v>
      </c>
      <c r="D34" s="9"/>
    </row>
    <row r="35" ht="15.75" customHeight="1">
      <c r="A35" s="5" t="s">
        <v>13</v>
      </c>
      <c r="B35" s="5" t="s">
        <v>102</v>
      </c>
      <c r="C35" s="10" t="s">
        <v>23</v>
      </c>
      <c r="D35" s="9"/>
    </row>
    <row r="36" ht="15.75" customHeight="1">
      <c r="A36" s="5" t="s">
        <v>13</v>
      </c>
      <c r="B36" s="5" t="s">
        <v>105</v>
      </c>
      <c r="C36" s="10" t="s">
        <v>23</v>
      </c>
      <c r="D36" s="9"/>
    </row>
    <row r="37" ht="15.75" customHeight="1">
      <c r="A37" s="5" t="s">
        <v>13</v>
      </c>
      <c r="B37" s="5" t="s">
        <v>108</v>
      </c>
      <c r="C37" s="10" t="s">
        <v>23</v>
      </c>
      <c r="D37" s="9"/>
    </row>
    <row r="38" ht="15.75" customHeight="1">
      <c r="A38" s="5" t="s">
        <v>13</v>
      </c>
      <c r="B38" s="5" t="s">
        <v>111</v>
      </c>
      <c r="C38" s="10" t="s">
        <v>23</v>
      </c>
      <c r="D38" s="9"/>
    </row>
    <row r="39" ht="15.75" customHeight="1">
      <c r="A39" s="5" t="s">
        <v>13</v>
      </c>
      <c r="B39" s="5" t="s">
        <v>114</v>
      </c>
      <c r="C39" s="10" t="s">
        <v>23</v>
      </c>
      <c r="D39" s="9"/>
    </row>
    <row r="40" ht="15.75" customHeight="1">
      <c r="A40" s="5" t="s">
        <v>13</v>
      </c>
      <c r="B40" s="5" t="s">
        <v>117</v>
      </c>
      <c r="C40" s="10" t="s">
        <v>23</v>
      </c>
      <c r="D40" s="9"/>
    </row>
    <row r="41" ht="15.75" customHeight="1">
      <c r="A41" s="5" t="s">
        <v>13</v>
      </c>
      <c r="B41" s="5" t="s">
        <v>120</v>
      </c>
      <c r="C41" s="10" t="s">
        <v>23</v>
      </c>
      <c r="D41" s="9"/>
    </row>
    <row r="42" ht="15.75" customHeight="1">
      <c r="A42" s="5" t="s">
        <v>13</v>
      </c>
      <c r="B42" s="5" t="s">
        <v>121</v>
      </c>
      <c r="C42" s="10" t="s">
        <v>23</v>
      </c>
      <c r="D42" s="9"/>
    </row>
    <row r="43" ht="15.75" customHeight="1">
      <c r="A43" s="5" t="s">
        <v>13</v>
      </c>
      <c r="B43" s="5" t="s">
        <v>123</v>
      </c>
      <c r="C43" s="10" t="s">
        <v>23</v>
      </c>
      <c r="D43" s="9"/>
    </row>
    <row r="44" ht="15.75" customHeight="1">
      <c r="A44" s="5" t="s">
        <v>13</v>
      </c>
      <c r="B44" s="5" t="s">
        <v>125</v>
      </c>
      <c r="C44" s="10" t="s">
        <v>23</v>
      </c>
      <c r="D44" s="9"/>
    </row>
    <row r="45" ht="15.75" customHeight="1">
      <c r="A45" s="5" t="s">
        <v>13</v>
      </c>
      <c r="B45" s="5" t="s">
        <v>129</v>
      </c>
      <c r="C45" s="10" t="s">
        <v>23</v>
      </c>
      <c r="D45" s="9"/>
    </row>
    <row r="46" ht="15.75" customHeight="1">
      <c r="A46" s="5" t="s">
        <v>13</v>
      </c>
      <c r="B46" s="5" t="s">
        <v>131</v>
      </c>
      <c r="C46" s="10" t="s">
        <v>23</v>
      </c>
      <c r="D46" s="9"/>
    </row>
    <row r="47" ht="15.75" customHeight="1">
      <c r="A47" s="5" t="s">
        <v>13</v>
      </c>
      <c r="B47" s="5" t="s">
        <v>134</v>
      </c>
      <c r="C47" s="10" t="s">
        <v>23</v>
      </c>
      <c r="D47" s="9"/>
    </row>
    <row r="48" ht="15.75" customHeight="1">
      <c r="A48" s="5" t="s">
        <v>13</v>
      </c>
      <c r="B48" s="5" t="s">
        <v>138</v>
      </c>
      <c r="C48" s="10" t="s">
        <v>23</v>
      </c>
      <c r="D48" s="9"/>
    </row>
    <row r="49" ht="15.75" customHeight="1">
      <c r="A49" s="5" t="s">
        <v>13</v>
      </c>
      <c r="B49" s="5" t="s">
        <v>140</v>
      </c>
      <c r="C49" s="10" t="s">
        <v>23</v>
      </c>
      <c r="D49" s="9"/>
    </row>
    <row r="50" ht="15.75" customHeight="1">
      <c r="A50" s="5" t="s">
        <v>13</v>
      </c>
      <c r="B50" s="5" t="s">
        <v>142</v>
      </c>
      <c r="C50" s="10" t="s">
        <v>23</v>
      </c>
      <c r="D50" s="9"/>
    </row>
    <row r="51" ht="15.75" customHeight="1">
      <c r="A51" s="5" t="s">
        <v>13</v>
      </c>
      <c r="B51" s="5" t="s">
        <v>145</v>
      </c>
      <c r="C51" s="10" t="s">
        <v>23</v>
      </c>
      <c r="D51" s="9"/>
    </row>
    <row r="52" ht="15.75" customHeight="1">
      <c r="A52" s="5" t="s">
        <v>13</v>
      </c>
      <c r="B52" s="5" t="s">
        <v>148</v>
      </c>
      <c r="C52" s="10" t="s">
        <v>23</v>
      </c>
      <c r="D52" s="9"/>
    </row>
    <row r="53" ht="15.75" customHeight="1">
      <c r="A53" s="5" t="s">
        <v>13</v>
      </c>
      <c r="B53" s="5" t="s">
        <v>149</v>
      </c>
      <c r="C53" s="10" t="s">
        <v>23</v>
      </c>
      <c r="D53" s="9"/>
    </row>
    <row r="54" ht="15.75" customHeight="1">
      <c r="A54" s="5" t="s">
        <v>13</v>
      </c>
      <c r="B54" s="5" t="s">
        <v>152</v>
      </c>
      <c r="C54" s="10" t="s">
        <v>23</v>
      </c>
      <c r="D54" s="9"/>
    </row>
    <row r="55" ht="15.75" customHeight="1">
      <c r="A55" s="5" t="s">
        <v>13</v>
      </c>
      <c r="B55" s="5" t="s">
        <v>155</v>
      </c>
      <c r="C55" s="10" t="s">
        <v>23</v>
      </c>
      <c r="D55" s="9"/>
    </row>
    <row r="56" ht="15.75" customHeight="1">
      <c r="A56" s="5" t="s">
        <v>13</v>
      </c>
      <c r="B56" s="5" t="s">
        <v>157</v>
      </c>
      <c r="C56" s="10" t="s">
        <v>23</v>
      </c>
      <c r="D56" s="9"/>
    </row>
    <row r="57" ht="15.75" customHeight="1">
      <c r="A57" s="5" t="s">
        <v>13</v>
      </c>
      <c r="B57" s="5" t="s">
        <v>159</v>
      </c>
      <c r="C57" s="10" t="s">
        <v>23</v>
      </c>
      <c r="D57" s="9"/>
    </row>
    <row r="58" ht="15.75" customHeight="1">
      <c r="A58" s="5" t="s">
        <v>13</v>
      </c>
      <c r="B58" s="5" t="s">
        <v>161</v>
      </c>
      <c r="C58" s="10" t="s">
        <v>23</v>
      </c>
      <c r="D58" s="9"/>
    </row>
    <row r="59" ht="15.75" customHeight="1">
      <c r="A59" s="5" t="s">
        <v>13</v>
      </c>
      <c r="B59" s="5" t="s">
        <v>163</v>
      </c>
      <c r="C59" s="10" t="s">
        <v>23</v>
      </c>
      <c r="D59" s="9"/>
    </row>
    <row r="60" ht="15.75" customHeight="1">
      <c r="A60" s="5" t="s">
        <v>13</v>
      </c>
      <c r="B60" s="5" t="s">
        <v>165</v>
      </c>
      <c r="C60" s="10" t="s">
        <v>23</v>
      </c>
      <c r="D60" s="9"/>
    </row>
    <row r="61" ht="15.75" customHeight="1">
      <c r="A61" s="5" t="s">
        <v>13</v>
      </c>
      <c r="B61" s="5" t="s">
        <v>167</v>
      </c>
      <c r="C61" s="10" t="s">
        <v>23</v>
      </c>
      <c r="D61" s="9"/>
    </row>
    <row r="62" ht="15.75" customHeight="1">
      <c r="A62" s="5" t="s">
        <v>13</v>
      </c>
      <c r="B62" s="5" t="s">
        <v>170</v>
      </c>
      <c r="C62" s="10" t="s">
        <v>23</v>
      </c>
      <c r="D62" s="9"/>
    </row>
    <row r="63" ht="15.75" customHeight="1">
      <c r="A63" s="5" t="s">
        <v>13</v>
      </c>
      <c r="B63" s="5" t="s">
        <v>172</v>
      </c>
      <c r="C63" s="10" t="s">
        <v>23</v>
      </c>
      <c r="D63" s="9"/>
    </row>
    <row r="64" ht="15.75" customHeight="1">
      <c r="A64" s="5" t="s">
        <v>13</v>
      </c>
      <c r="B64" s="5" t="s">
        <v>174</v>
      </c>
      <c r="C64" s="10" t="s">
        <v>23</v>
      </c>
      <c r="D64" s="9"/>
    </row>
    <row r="65" ht="15.75" customHeight="1">
      <c r="A65" s="5" t="s">
        <v>13</v>
      </c>
      <c r="B65" s="5" t="s">
        <v>176</v>
      </c>
      <c r="C65" s="10" t="s">
        <v>23</v>
      </c>
      <c r="D65" s="9"/>
    </row>
    <row r="66" ht="15.75" customHeight="1">
      <c r="A66" s="5" t="s">
        <v>13</v>
      </c>
      <c r="B66" s="5" t="s">
        <v>178</v>
      </c>
      <c r="C66" s="10" t="s">
        <v>23</v>
      </c>
      <c r="D66" s="9"/>
    </row>
    <row r="67" ht="15.75" customHeight="1">
      <c r="A67" s="5" t="s">
        <v>13</v>
      </c>
      <c r="B67" s="5" t="s">
        <v>180</v>
      </c>
      <c r="C67" s="10" t="s">
        <v>23</v>
      </c>
      <c r="D67" s="9"/>
    </row>
    <row r="68" ht="15.75" customHeight="1">
      <c r="A68" s="5" t="s">
        <v>13</v>
      </c>
      <c r="B68" s="5" t="s">
        <v>182</v>
      </c>
      <c r="C68" s="10" t="s">
        <v>23</v>
      </c>
      <c r="D68" s="9"/>
    </row>
    <row r="69" ht="15.75" customHeight="1">
      <c r="A69" s="5" t="s">
        <v>13</v>
      </c>
      <c r="B69" s="5" t="s">
        <v>186</v>
      </c>
      <c r="C69" s="10" t="s">
        <v>23</v>
      </c>
      <c r="D69" s="9"/>
    </row>
    <row r="70" ht="15.75" customHeight="1">
      <c r="A70" s="5" t="s">
        <v>13</v>
      </c>
      <c r="B70" s="5" t="s">
        <v>187</v>
      </c>
      <c r="C70" s="10" t="s">
        <v>23</v>
      </c>
      <c r="D70" s="9"/>
    </row>
    <row r="71" ht="15.75" customHeight="1">
      <c r="A71" s="5" t="s">
        <v>13</v>
      </c>
      <c r="B71" s="5" t="s">
        <v>188</v>
      </c>
      <c r="C71" s="10" t="s">
        <v>23</v>
      </c>
      <c r="D71" s="9"/>
    </row>
    <row r="72" ht="15.75" customHeight="1">
      <c r="A72" s="5" t="s">
        <v>13</v>
      </c>
      <c r="B72" s="5" t="s">
        <v>189</v>
      </c>
      <c r="C72" s="10" t="s">
        <v>23</v>
      </c>
      <c r="D72" s="9"/>
    </row>
    <row r="73" ht="15.75" customHeight="1">
      <c r="A73" s="5" t="s">
        <v>13</v>
      </c>
      <c r="B73" s="5" t="s">
        <v>191</v>
      </c>
      <c r="C73" s="10" t="s">
        <v>23</v>
      </c>
      <c r="D73" s="9"/>
    </row>
    <row r="74" ht="15.75" customHeight="1">
      <c r="A74" s="5" t="s">
        <v>13</v>
      </c>
      <c r="B74" s="5" t="s">
        <v>194</v>
      </c>
      <c r="C74" s="10" t="s">
        <v>23</v>
      </c>
      <c r="D74" s="9"/>
    </row>
    <row r="75" ht="15.75" customHeight="1">
      <c r="A75" s="5" t="s">
        <v>13</v>
      </c>
      <c r="B75" s="5" t="s">
        <v>197</v>
      </c>
      <c r="C75" s="10" t="s">
        <v>23</v>
      </c>
      <c r="D75" s="9"/>
    </row>
    <row r="76" ht="15.75" customHeight="1">
      <c r="A76" s="5" t="s">
        <v>13</v>
      </c>
      <c r="B76" s="5" t="s">
        <v>199</v>
      </c>
      <c r="C76" s="10" t="s">
        <v>23</v>
      </c>
      <c r="D76" s="9"/>
    </row>
    <row r="77" ht="15.75" customHeight="1">
      <c r="A77" s="5" t="s">
        <v>13</v>
      </c>
      <c r="B77" s="5" t="s">
        <v>203</v>
      </c>
      <c r="C77" s="10" t="s">
        <v>23</v>
      </c>
      <c r="D77" s="9"/>
    </row>
    <row r="78" ht="15.75" customHeight="1">
      <c r="A78" s="5" t="s">
        <v>13</v>
      </c>
      <c r="B78" s="5" t="s">
        <v>204</v>
      </c>
      <c r="C78" s="10" t="s">
        <v>23</v>
      </c>
      <c r="D78" s="9"/>
    </row>
    <row r="79" ht="15.75" customHeight="1">
      <c r="A79" s="5" t="s">
        <v>13</v>
      </c>
      <c r="B79" s="5" t="s">
        <v>207</v>
      </c>
      <c r="C79" s="10" t="s">
        <v>23</v>
      </c>
      <c r="D79" s="9"/>
    </row>
    <row r="80" ht="15.75" customHeight="1">
      <c r="A80" s="5" t="s">
        <v>13</v>
      </c>
      <c r="B80" s="5" t="s">
        <v>210</v>
      </c>
      <c r="C80" s="10" t="s">
        <v>23</v>
      </c>
      <c r="D80" s="9"/>
    </row>
    <row r="81" ht="15.75" customHeight="1">
      <c r="A81" s="5" t="s">
        <v>13</v>
      </c>
      <c r="B81" s="5" t="s">
        <v>212</v>
      </c>
      <c r="C81" s="10" t="s">
        <v>23</v>
      </c>
      <c r="D81" s="9"/>
    </row>
    <row r="82" ht="15.75" customHeight="1">
      <c r="A82" s="5" t="s">
        <v>13</v>
      </c>
      <c r="B82" s="5" t="s">
        <v>214</v>
      </c>
      <c r="C82" s="10" t="s">
        <v>23</v>
      </c>
      <c r="D82" s="9"/>
    </row>
    <row r="83" ht="15.75" customHeight="1">
      <c r="A83" s="5" t="s">
        <v>13</v>
      </c>
      <c r="B83" s="5" t="s">
        <v>217</v>
      </c>
      <c r="C83" s="10" t="s">
        <v>23</v>
      </c>
      <c r="D83" s="9"/>
    </row>
    <row r="84" ht="15.75" customHeight="1">
      <c r="A84" s="5" t="s">
        <v>13</v>
      </c>
      <c r="B84" s="5" t="s">
        <v>218</v>
      </c>
      <c r="C84" s="10" t="s">
        <v>23</v>
      </c>
      <c r="D84" s="9"/>
    </row>
    <row r="85" ht="15.75" customHeight="1">
      <c r="A85" s="5" t="s">
        <v>13</v>
      </c>
      <c r="B85" s="5" t="s">
        <v>221</v>
      </c>
      <c r="C85" s="10" t="s">
        <v>23</v>
      </c>
      <c r="D85" s="9"/>
    </row>
    <row r="86" ht="15.75" customHeight="1">
      <c r="A86" s="5" t="s">
        <v>13</v>
      </c>
      <c r="B86" s="5" t="s">
        <v>224</v>
      </c>
      <c r="C86" s="10" t="s">
        <v>23</v>
      </c>
      <c r="D86" s="9"/>
    </row>
    <row r="87" ht="15.75" customHeight="1">
      <c r="A87" s="5" t="s">
        <v>13</v>
      </c>
      <c r="B87" s="5" t="s">
        <v>225</v>
      </c>
      <c r="C87" s="10" t="s">
        <v>23</v>
      </c>
      <c r="D87" s="9"/>
    </row>
    <row r="88" ht="15.75" customHeight="1">
      <c r="A88" s="5" t="s">
        <v>13</v>
      </c>
      <c r="B88" s="5" t="s">
        <v>228</v>
      </c>
      <c r="C88" s="10" t="s">
        <v>23</v>
      </c>
      <c r="D88" s="9"/>
    </row>
    <row r="89" ht="15.75" customHeight="1">
      <c r="A89" s="5" t="s">
        <v>13</v>
      </c>
      <c r="B89" s="5" t="s">
        <v>229</v>
      </c>
      <c r="C89" s="10" t="s">
        <v>23</v>
      </c>
      <c r="D89" s="9"/>
    </row>
    <row r="90" ht="15.75" customHeight="1">
      <c r="A90" s="5" t="s">
        <v>13</v>
      </c>
      <c r="B90" s="5" t="s">
        <v>232</v>
      </c>
      <c r="C90" s="10" t="s">
        <v>23</v>
      </c>
      <c r="D90" s="9"/>
    </row>
    <row r="91" ht="15.75" customHeight="1">
      <c r="A91" s="5" t="s">
        <v>13</v>
      </c>
      <c r="B91" s="5" t="s">
        <v>234</v>
      </c>
      <c r="C91" s="10" t="s">
        <v>23</v>
      </c>
      <c r="D91" s="9"/>
    </row>
    <row r="92" ht="15.75" customHeight="1">
      <c r="A92" s="5" t="s">
        <v>13</v>
      </c>
      <c r="B92" s="5" t="s">
        <v>236</v>
      </c>
      <c r="C92" s="10" t="s">
        <v>23</v>
      </c>
      <c r="D92" s="9"/>
    </row>
    <row r="93" ht="15.75" customHeight="1">
      <c r="A93" s="5" t="s">
        <v>13</v>
      </c>
      <c r="B93" s="5" t="s">
        <v>239</v>
      </c>
      <c r="C93" s="10" t="s">
        <v>23</v>
      </c>
      <c r="D93" s="9"/>
    </row>
    <row r="94" ht="15.75" customHeight="1">
      <c r="A94" s="5" t="s">
        <v>13</v>
      </c>
      <c r="B94" s="5" t="s">
        <v>242</v>
      </c>
      <c r="C94" s="10" t="s">
        <v>23</v>
      </c>
      <c r="D94" s="9"/>
    </row>
    <row r="95" ht="15.75" customHeight="1">
      <c r="A95" s="5" t="s">
        <v>13</v>
      </c>
      <c r="B95" s="5" t="s">
        <v>244</v>
      </c>
      <c r="C95" s="10" t="s">
        <v>23</v>
      </c>
      <c r="D95" s="9"/>
    </row>
    <row r="96" ht="15.75" customHeight="1">
      <c r="A96" s="5" t="s">
        <v>13</v>
      </c>
      <c r="B96" s="5" t="s">
        <v>246</v>
      </c>
      <c r="C96" s="10" t="s">
        <v>23</v>
      </c>
      <c r="D96" s="9"/>
    </row>
    <row r="97" ht="15.75" customHeight="1">
      <c r="A97" s="5" t="s">
        <v>13</v>
      </c>
      <c r="B97" s="5" t="s">
        <v>249</v>
      </c>
      <c r="C97" s="10" t="s">
        <v>23</v>
      </c>
      <c r="D97" s="9"/>
    </row>
    <row r="98" ht="15.75" customHeight="1">
      <c r="A98" s="5" t="s">
        <v>13</v>
      </c>
      <c r="B98" s="5" t="s">
        <v>251</v>
      </c>
      <c r="C98" s="10" t="s">
        <v>23</v>
      </c>
      <c r="D98" s="9"/>
    </row>
    <row r="99" ht="15.75" customHeight="1">
      <c r="A99" s="5" t="s">
        <v>13</v>
      </c>
      <c r="B99" s="5" t="s">
        <v>253</v>
      </c>
      <c r="C99" s="10" t="s">
        <v>23</v>
      </c>
      <c r="D99" s="9"/>
    </row>
    <row r="100" ht="15.75" customHeight="1">
      <c r="A100" s="5" t="s">
        <v>13</v>
      </c>
      <c r="B100" s="5" t="s">
        <v>256</v>
      </c>
      <c r="C100" s="10" t="s">
        <v>23</v>
      </c>
      <c r="D100" s="9"/>
    </row>
    <row r="101" ht="15.75" customHeight="1">
      <c r="A101" s="5" t="s">
        <v>13</v>
      </c>
      <c r="B101" s="5" t="s">
        <v>258</v>
      </c>
      <c r="C101" s="10" t="s">
        <v>23</v>
      </c>
      <c r="D101" s="9"/>
    </row>
    <row r="102" ht="15.75" customHeight="1">
      <c r="A102" s="5" t="s">
        <v>13</v>
      </c>
      <c r="B102" s="5" t="s">
        <v>260</v>
      </c>
      <c r="C102" s="10" t="s">
        <v>23</v>
      </c>
      <c r="D102" s="9"/>
    </row>
    <row r="103" ht="15.75" customHeight="1">
      <c r="A103" s="5" t="s">
        <v>13</v>
      </c>
      <c r="B103" s="5" t="s">
        <v>263</v>
      </c>
      <c r="C103" s="10" t="s">
        <v>23</v>
      </c>
      <c r="D103" s="9"/>
    </row>
    <row r="104" ht="15.75" customHeight="1">
      <c r="A104" s="5" t="s">
        <v>13</v>
      </c>
      <c r="B104" s="5" t="s">
        <v>266</v>
      </c>
      <c r="C104" s="10" t="s">
        <v>23</v>
      </c>
      <c r="D104" s="9"/>
    </row>
    <row r="105" ht="15.75" customHeight="1">
      <c r="A105" s="5" t="s">
        <v>13</v>
      </c>
      <c r="B105" s="5" t="s">
        <v>268</v>
      </c>
      <c r="C105" s="10" t="s">
        <v>23</v>
      </c>
      <c r="D105" s="9"/>
    </row>
    <row r="106" ht="15.75" customHeight="1">
      <c r="A106" s="5" t="s">
        <v>13</v>
      </c>
      <c r="B106" s="5" t="s">
        <v>270</v>
      </c>
      <c r="C106" s="10" t="s">
        <v>23</v>
      </c>
      <c r="D106" s="9"/>
    </row>
    <row r="107" ht="15.75" customHeight="1">
      <c r="A107" s="5" t="s">
        <v>13</v>
      </c>
      <c r="B107" s="5" t="s">
        <v>272</v>
      </c>
      <c r="C107" s="10" t="s">
        <v>23</v>
      </c>
      <c r="D107" s="9"/>
    </row>
    <row r="108" ht="15.75" customHeight="1">
      <c r="A108" s="5" t="s">
        <v>13</v>
      </c>
      <c r="B108" s="5" t="s">
        <v>274</v>
      </c>
      <c r="C108" s="10" t="s">
        <v>23</v>
      </c>
      <c r="D108" s="9"/>
    </row>
    <row r="109" ht="15.75" customHeight="1">
      <c r="A109" s="5" t="s">
        <v>13</v>
      </c>
      <c r="B109" s="5" t="s">
        <v>275</v>
      </c>
      <c r="C109" s="10" t="s">
        <v>23</v>
      </c>
      <c r="D109" s="9"/>
    </row>
    <row r="110" ht="15.75" customHeight="1">
      <c r="A110" s="5" t="s">
        <v>13</v>
      </c>
      <c r="B110" s="5" t="s">
        <v>278</v>
      </c>
      <c r="C110" s="10" t="s">
        <v>23</v>
      </c>
      <c r="D110" s="9"/>
    </row>
    <row r="111" ht="15.75" customHeight="1">
      <c r="A111" s="5" t="s">
        <v>13</v>
      </c>
      <c r="B111" s="5" t="s">
        <v>279</v>
      </c>
      <c r="C111" s="10" t="s">
        <v>23</v>
      </c>
      <c r="D111" s="9"/>
    </row>
    <row r="112" ht="15.75" customHeight="1">
      <c r="A112" s="5" t="s">
        <v>13</v>
      </c>
      <c r="B112" s="5" t="s">
        <v>282</v>
      </c>
      <c r="C112" s="10" t="s">
        <v>23</v>
      </c>
      <c r="D112" s="9"/>
    </row>
    <row r="113" ht="15.75" customHeight="1">
      <c r="A113" s="5" t="s">
        <v>13</v>
      </c>
      <c r="B113" s="5" t="s">
        <v>283</v>
      </c>
      <c r="C113" s="10" t="s">
        <v>23</v>
      </c>
      <c r="D113" s="9"/>
    </row>
    <row r="114" ht="15.75" customHeight="1">
      <c r="A114" s="5" t="s">
        <v>13</v>
      </c>
      <c r="B114" s="5" t="s">
        <v>286</v>
      </c>
      <c r="C114" s="10" t="s">
        <v>23</v>
      </c>
      <c r="D114" s="9"/>
    </row>
    <row r="115" ht="15.75" customHeight="1">
      <c r="A115" s="5" t="s">
        <v>13</v>
      </c>
      <c r="B115" s="5" t="s">
        <v>287</v>
      </c>
      <c r="C115" s="10" t="s">
        <v>23</v>
      </c>
      <c r="D115" s="9"/>
    </row>
    <row r="116" ht="15.75" customHeight="1">
      <c r="A116" s="5" t="s">
        <v>13</v>
      </c>
      <c r="B116" s="5" t="s">
        <v>290</v>
      </c>
      <c r="C116" s="10" t="s">
        <v>23</v>
      </c>
      <c r="D116" s="9"/>
    </row>
    <row r="117" ht="15.75" customHeight="1">
      <c r="A117" s="5" t="s">
        <v>13</v>
      </c>
      <c r="B117" s="5" t="s">
        <v>292</v>
      </c>
      <c r="C117" s="10" t="s">
        <v>23</v>
      </c>
      <c r="D117" s="9"/>
    </row>
    <row r="118" ht="15.75" customHeight="1">
      <c r="A118" s="5" t="s">
        <v>13</v>
      </c>
      <c r="B118" s="5" t="s">
        <v>293</v>
      </c>
      <c r="C118" s="10" t="s">
        <v>23</v>
      </c>
      <c r="D118" s="9"/>
    </row>
    <row r="119" ht="15.75" customHeight="1">
      <c r="A119" s="5" t="s">
        <v>13</v>
      </c>
      <c r="B119" s="5" t="s">
        <v>297</v>
      </c>
      <c r="C119" s="10" t="s">
        <v>23</v>
      </c>
      <c r="D119" s="9"/>
    </row>
    <row r="120" ht="15.75" customHeight="1">
      <c r="A120" s="5" t="s">
        <v>13</v>
      </c>
      <c r="B120" s="5" t="s">
        <v>298</v>
      </c>
      <c r="C120" s="10" t="s">
        <v>23</v>
      </c>
      <c r="D120" s="9"/>
    </row>
    <row r="121" ht="15.75" customHeight="1">
      <c r="A121" s="5" t="s">
        <v>13</v>
      </c>
      <c r="B121" s="5" t="s">
        <v>302</v>
      </c>
      <c r="C121" s="10" t="s">
        <v>23</v>
      </c>
      <c r="D121" s="9"/>
    </row>
    <row r="122" ht="15.75" customHeight="1">
      <c r="A122" s="5" t="s">
        <v>13</v>
      </c>
      <c r="B122" s="5" t="s">
        <v>303</v>
      </c>
      <c r="C122" s="10" t="s">
        <v>23</v>
      </c>
      <c r="D122" s="9"/>
    </row>
    <row r="123" ht="15.75" customHeight="1">
      <c r="A123" s="5" t="s">
        <v>13</v>
      </c>
      <c r="B123" s="5" t="s">
        <v>305</v>
      </c>
      <c r="C123" s="10" t="s">
        <v>23</v>
      </c>
      <c r="D123" s="9"/>
    </row>
    <row r="124" ht="15.75" customHeight="1">
      <c r="A124" s="5" t="s">
        <v>13</v>
      </c>
      <c r="B124" s="5" t="s">
        <v>307</v>
      </c>
      <c r="C124" s="10" t="s">
        <v>23</v>
      </c>
      <c r="D124" s="9"/>
    </row>
    <row r="125" ht="15.75" customHeight="1">
      <c r="A125" s="5" t="s">
        <v>13</v>
      </c>
      <c r="B125" s="5" t="s">
        <v>308</v>
      </c>
      <c r="C125" s="10" t="s">
        <v>23</v>
      </c>
      <c r="D125" s="9"/>
    </row>
    <row r="126" ht="15.75" customHeight="1">
      <c r="A126" s="5" t="s">
        <v>13</v>
      </c>
      <c r="B126" s="5" t="s">
        <v>311</v>
      </c>
      <c r="C126" s="10" t="s">
        <v>23</v>
      </c>
      <c r="D126" s="9"/>
    </row>
    <row r="127" ht="15.75" customHeight="1">
      <c r="A127" s="5" t="s">
        <v>13</v>
      </c>
      <c r="B127" s="5" t="s">
        <v>312</v>
      </c>
      <c r="C127" s="10" t="s">
        <v>23</v>
      </c>
      <c r="D127" s="9"/>
    </row>
    <row r="128" ht="15.75" customHeight="1">
      <c r="A128" s="5" t="s">
        <v>13</v>
      </c>
      <c r="B128" s="5" t="s">
        <v>315</v>
      </c>
      <c r="C128" s="10" t="s">
        <v>23</v>
      </c>
      <c r="D128" s="9"/>
    </row>
    <row r="129" ht="15.75" customHeight="1">
      <c r="A129" s="5" t="s">
        <v>13</v>
      </c>
      <c r="B129" s="5" t="s">
        <v>320</v>
      </c>
      <c r="C129" s="10" t="s">
        <v>23</v>
      </c>
      <c r="D129" s="9"/>
    </row>
    <row r="130" ht="15.75" customHeight="1">
      <c r="A130" s="5" t="s">
        <v>13</v>
      </c>
      <c r="B130" s="5" t="s">
        <v>321</v>
      </c>
      <c r="C130" s="10" t="s">
        <v>23</v>
      </c>
      <c r="D130" s="9"/>
    </row>
    <row r="131" ht="15.75" customHeight="1">
      <c r="A131" s="5" t="s">
        <v>13</v>
      </c>
      <c r="B131" s="5" t="s">
        <v>324</v>
      </c>
      <c r="C131" s="10" t="s">
        <v>23</v>
      </c>
      <c r="D131" s="9"/>
    </row>
    <row r="132" ht="15.75" customHeight="1">
      <c r="A132" s="5" t="s">
        <v>13</v>
      </c>
      <c r="B132" s="5" t="s">
        <v>325</v>
      </c>
      <c r="C132" s="10" t="s">
        <v>23</v>
      </c>
      <c r="D132" s="9"/>
    </row>
    <row r="133" ht="15.75" customHeight="1">
      <c r="A133" s="5" t="s">
        <v>13</v>
      </c>
      <c r="B133" s="5" t="s">
        <v>328</v>
      </c>
      <c r="C133" s="10" t="s">
        <v>23</v>
      </c>
      <c r="D133" s="9"/>
    </row>
    <row r="134" ht="15.75" customHeight="1">
      <c r="A134" s="5" t="s">
        <v>13</v>
      </c>
      <c r="B134" s="5" t="s">
        <v>329</v>
      </c>
      <c r="C134" s="10" t="s">
        <v>23</v>
      </c>
      <c r="D134" s="9"/>
    </row>
    <row r="135" ht="15.75" customHeight="1">
      <c r="A135" s="5" t="s">
        <v>13</v>
      </c>
      <c r="B135" s="5" t="s">
        <v>331</v>
      </c>
      <c r="C135" s="10" t="s">
        <v>23</v>
      </c>
      <c r="D135" s="9"/>
    </row>
    <row r="136" ht="15.75" customHeight="1">
      <c r="A136" s="5" t="s">
        <v>13</v>
      </c>
      <c r="B136" s="5" t="s">
        <v>333</v>
      </c>
      <c r="C136" s="10" t="s">
        <v>23</v>
      </c>
      <c r="D136" s="9"/>
    </row>
    <row r="137" ht="15.75" customHeight="1">
      <c r="A137" s="5" t="s">
        <v>13</v>
      </c>
      <c r="B137" s="5" t="s">
        <v>336</v>
      </c>
      <c r="C137" s="10" t="s">
        <v>23</v>
      </c>
      <c r="D137" s="9"/>
    </row>
    <row r="138" ht="15.75" customHeight="1">
      <c r="A138" s="5" t="s">
        <v>13</v>
      </c>
      <c r="B138" s="5" t="s">
        <v>337</v>
      </c>
      <c r="C138" s="10" t="s">
        <v>23</v>
      </c>
      <c r="D138" s="9"/>
    </row>
    <row r="139" ht="15.75" customHeight="1">
      <c r="A139" s="5" t="s">
        <v>13</v>
      </c>
      <c r="B139" s="5" t="s">
        <v>340</v>
      </c>
      <c r="C139" s="10" t="s">
        <v>23</v>
      </c>
      <c r="D139" s="9"/>
    </row>
    <row r="140" ht="15.75" customHeight="1">
      <c r="A140" s="5" t="s">
        <v>13</v>
      </c>
      <c r="B140" s="5" t="s">
        <v>341</v>
      </c>
      <c r="C140" s="10" t="s">
        <v>23</v>
      </c>
      <c r="D140" s="9"/>
    </row>
    <row r="141" ht="15.75" customHeight="1">
      <c r="A141" s="5" t="s">
        <v>13</v>
      </c>
      <c r="B141" s="5" t="s">
        <v>344</v>
      </c>
      <c r="C141" s="10" t="s">
        <v>23</v>
      </c>
      <c r="D141" s="9"/>
    </row>
    <row r="142" ht="15.75" customHeight="1">
      <c r="A142" s="5" t="s">
        <v>13</v>
      </c>
      <c r="B142" s="5" t="s">
        <v>345</v>
      </c>
      <c r="C142" s="10" t="s">
        <v>23</v>
      </c>
      <c r="D142" s="9"/>
    </row>
    <row r="143" ht="15.75" customHeight="1">
      <c r="A143" s="5" t="s">
        <v>13</v>
      </c>
      <c r="B143" s="5" t="s">
        <v>346</v>
      </c>
      <c r="C143" s="10" t="s">
        <v>23</v>
      </c>
      <c r="D143" s="9"/>
    </row>
    <row r="144" ht="15.75" customHeight="1">
      <c r="A144" s="5" t="s">
        <v>13</v>
      </c>
      <c r="B144" s="5" t="s">
        <v>349</v>
      </c>
      <c r="C144" s="10" t="s">
        <v>23</v>
      </c>
      <c r="D144" s="9"/>
    </row>
    <row r="145" ht="15.75" customHeight="1">
      <c r="A145" s="5" t="s">
        <v>13</v>
      </c>
      <c r="B145" s="5" t="s">
        <v>350</v>
      </c>
      <c r="C145" s="10" t="s">
        <v>23</v>
      </c>
      <c r="D145" s="9"/>
    </row>
    <row r="146" ht="15.75" customHeight="1">
      <c r="A146" s="5" t="s">
        <v>13</v>
      </c>
      <c r="B146" s="5" t="s">
        <v>352</v>
      </c>
      <c r="C146" s="10" t="s">
        <v>23</v>
      </c>
      <c r="D146" s="9"/>
    </row>
    <row r="147" ht="15.75" customHeight="1">
      <c r="A147" s="5" t="s">
        <v>13</v>
      </c>
      <c r="B147" s="5" t="s">
        <v>354</v>
      </c>
      <c r="C147" s="10" t="s">
        <v>23</v>
      </c>
      <c r="D147" s="9"/>
    </row>
    <row r="148" ht="15.75" customHeight="1">
      <c r="A148" s="5" t="s">
        <v>13</v>
      </c>
      <c r="B148" s="5" t="s">
        <v>356</v>
      </c>
      <c r="C148" s="10" t="s">
        <v>23</v>
      </c>
      <c r="D148" s="9"/>
    </row>
    <row r="149" ht="15.75" customHeight="1">
      <c r="A149" s="5" t="s">
        <v>13</v>
      </c>
      <c r="B149" s="5" t="s">
        <v>359</v>
      </c>
      <c r="C149" s="10" t="s">
        <v>23</v>
      </c>
      <c r="D149" s="9"/>
    </row>
    <row r="150" ht="15.75" customHeight="1">
      <c r="A150" s="5" t="s">
        <v>13</v>
      </c>
      <c r="B150" s="5" t="s">
        <v>360</v>
      </c>
      <c r="C150" s="10" t="s">
        <v>23</v>
      </c>
      <c r="D150" s="9"/>
    </row>
    <row r="151" ht="15.75" customHeight="1">
      <c r="A151" s="5" t="s">
        <v>13</v>
      </c>
      <c r="B151" s="5" t="s">
        <v>363</v>
      </c>
      <c r="C151" s="10" t="s">
        <v>23</v>
      </c>
      <c r="D151" s="9"/>
    </row>
    <row r="152" ht="15.75" customHeight="1">
      <c r="A152" s="5" t="s">
        <v>13</v>
      </c>
      <c r="B152" s="5" t="s">
        <v>364</v>
      </c>
      <c r="C152" s="10" t="s">
        <v>23</v>
      </c>
      <c r="D152" s="9"/>
    </row>
    <row r="153" ht="15.75" customHeight="1">
      <c r="A153" s="5" t="s">
        <v>13</v>
      </c>
      <c r="B153" s="5" t="s">
        <v>367</v>
      </c>
      <c r="C153" s="10" t="s">
        <v>23</v>
      </c>
      <c r="D153" s="9"/>
    </row>
    <row r="154" ht="15.75" customHeight="1">
      <c r="A154" s="5" t="s">
        <v>13</v>
      </c>
      <c r="B154" s="5" t="s">
        <v>369</v>
      </c>
      <c r="C154" s="10" t="s">
        <v>23</v>
      </c>
      <c r="D154" s="9"/>
    </row>
    <row r="155" ht="15.75" customHeight="1">
      <c r="A155" s="5" t="s">
        <v>13</v>
      </c>
      <c r="B155" s="5" t="s">
        <v>372</v>
      </c>
      <c r="C155" s="10" t="s">
        <v>23</v>
      </c>
      <c r="D155" s="9"/>
    </row>
    <row r="156" ht="15.75" customHeight="1">
      <c r="A156" s="5" t="s">
        <v>13</v>
      </c>
      <c r="B156" s="5" t="s">
        <v>375</v>
      </c>
      <c r="C156" s="10" t="s">
        <v>23</v>
      </c>
      <c r="D156" s="9"/>
    </row>
    <row r="157" ht="15.75" customHeight="1">
      <c r="A157" s="5" t="s">
        <v>13</v>
      </c>
      <c r="B157" s="5" t="s">
        <v>377</v>
      </c>
      <c r="C157" s="10" t="s">
        <v>23</v>
      </c>
      <c r="D157" s="9"/>
    </row>
    <row r="158" ht="15.75" customHeight="1">
      <c r="A158" s="5" t="s">
        <v>13</v>
      </c>
      <c r="B158" s="5" t="s">
        <v>379</v>
      </c>
      <c r="C158" s="10" t="s">
        <v>23</v>
      </c>
      <c r="D158" s="9"/>
    </row>
    <row r="159" ht="15.75" customHeight="1">
      <c r="A159" s="5" t="s">
        <v>13</v>
      </c>
      <c r="B159" s="5" t="s">
        <v>380</v>
      </c>
      <c r="C159" s="10" t="s">
        <v>23</v>
      </c>
      <c r="D159" s="9"/>
    </row>
    <row r="160" ht="15.75" customHeight="1">
      <c r="A160" s="5" t="s">
        <v>13</v>
      </c>
      <c r="B160" s="5" t="s">
        <v>383</v>
      </c>
      <c r="C160" s="10" t="s">
        <v>23</v>
      </c>
      <c r="D160" s="9"/>
    </row>
    <row r="161" ht="15.75" customHeight="1">
      <c r="A161" s="5" t="s">
        <v>13</v>
      </c>
      <c r="B161" s="5" t="s">
        <v>384</v>
      </c>
      <c r="C161" s="10" t="s">
        <v>23</v>
      </c>
      <c r="D161" s="9"/>
    </row>
    <row r="162" ht="15.75" customHeight="1">
      <c r="A162" s="5" t="s">
        <v>13</v>
      </c>
      <c r="B162" s="5" t="s">
        <v>388</v>
      </c>
      <c r="C162" s="10" t="s">
        <v>23</v>
      </c>
      <c r="D162" s="9"/>
    </row>
    <row r="163" ht="15.75" customHeight="1">
      <c r="A163" s="5" t="s">
        <v>13</v>
      </c>
      <c r="B163" s="5" t="s">
        <v>389</v>
      </c>
      <c r="C163" s="10" t="s">
        <v>23</v>
      </c>
      <c r="D163" s="9"/>
    </row>
    <row r="164" ht="15.75" customHeight="1">
      <c r="A164" s="5" t="s">
        <v>13</v>
      </c>
      <c r="B164" s="5" t="s">
        <v>393</v>
      </c>
      <c r="C164" s="10" t="s">
        <v>23</v>
      </c>
      <c r="D164" s="9"/>
    </row>
    <row r="165" ht="15.75" customHeight="1">
      <c r="A165" s="5" t="s">
        <v>13</v>
      </c>
      <c r="B165" s="5" t="s">
        <v>396</v>
      </c>
      <c r="C165" s="10" t="s">
        <v>23</v>
      </c>
      <c r="D165" s="9"/>
    </row>
    <row r="166" ht="15.75" customHeight="1">
      <c r="A166" s="5" t="s">
        <v>13</v>
      </c>
      <c r="B166" s="5" t="s">
        <v>400</v>
      </c>
      <c r="C166" s="10" t="s">
        <v>23</v>
      </c>
      <c r="D166" s="9"/>
    </row>
    <row r="167" ht="15.75" customHeight="1">
      <c r="A167" s="5" t="s">
        <v>13</v>
      </c>
      <c r="B167" s="5" t="s">
        <v>402</v>
      </c>
      <c r="C167" s="10" t="s">
        <v>23</v>
      </c>
      <c r="D167" s="9"/>
    </row>
    <row r="168" ht="15.75" customHeight="1">
      <c r="A168" s="5" t="s">
        <v>13</v>
      </c>
      <c r="B168" s="5" t="s">
        <v>405</v>
      </c>
      <c r="C168" s="10" t="s">
        <v>23</v>
      </c>
      <c r="D168" s="9"/>
    </row>
    <row r="169" ht="15.75" customHeight="1">
      <c r="A169" s="5" t="s">
        <v>13</v>
      </c>
      <c r="B169" s="5" t="s">
        <v>408</v>
      </c>
      <c r="C169" s="10" t="s">
        <v>23</v>
      </c>
      <c r="D169" s="9"/>
    </row>
    <row r="170" ht="15.75" customHeight="1">
      <c r="A170" s="5" t="s">
        <v>13</v>
      </c>
      <c r="B170" s="5" t="s">
        <v>410</v>
      </c>
      <c r="C170" s="10" t="s">
        <v>23</v>
      </c>
      <c r="D170" s="9"/>
    </row>
    <row r="171" ht="15.75" customHeight="1">
      <c r="A171" s="5" t="s">
        <v>13</v>
      </c>
      <c r="B171" s="5" t="s">
        <v>414</v>
      </c>
      <c r="C171" s="10" t="s">
        <v>23</v>
      </c>
      <c r="D171" s="9"/>
    </row>
    <row r="172" ht="15.75" customHeight="1">
      <c r="A172" s="5" t="s">
        <v>13</v>
      </c>
      <c r="B172" s="5" t="s">
        <v>416</v>
      </c>
      <c r="C172" s="10" t="s">
        <v>23</v>
      </c>
      <c r="D172" s="9" t="s">
        <v>46</v>
      </c>
    </row>
    <row r="173" ht="15.75" customHeight="1">
      <c r="A173" s="5" t="s">
        <v>13</v>
      </c>
      <c r="B173" s="5" t="s">
        <v>419</v>
      </c>
      <c r="C173" s="10" t="s">
        <v>23</v>
      </c>
      <c r="D173" s="9"/>
    </row>
    <row r="174" ht="15.75" customHeight="1">
      <c r="A174" s="5" t="s">
        <v>13</v>
      </c>
      <c r="B174" s="5" t="s">
        <v>421</v>
      </c>
      <c r="C174" s="10" t="s">
        <v>23</v>
      </c>
      <c r="D174" s="9"/>
    </row>
    <row r="175" ht="15.75" customHeight="1">
      <c r="A175" s="5" t="s">
        <v>13</v>
      </c>
      <c r="B175" s="5" t="s">
        <v>423</v>
      </c>
      <c r="C175" s="10" t="s">
        <v>23</v>
      </c>
      <c r="D175" s="9"/>
    </row>
    <row r="176" ht="15.75" customHeight="1">
      <c r="A176" s="5" t="s">
        <v>13</v>
      </c>
      <c r="B176" s="5" t="s">
        <v>425</v>
      </c>
      <c r="C176" s="10" t="s">
        <v>23</v>
      </c>
      <c r="D176" s="9"/>
    </row>
    <row r="177" ht="15.75" customHeight="1">
      <c r="A177" s="5" t="s">
        <v>13</v>
      </c>
      <c r="B177" s="5" t="s">
        <v>426</v>
      </c>
      <c r="C177" s="10" t="s">
        <v>23</v>
      </c>
      <c r="D177" s="9"/>
    </row>
    <row r="178" ht="15.75" customHeight="1">
      <c r="A178" s="5" t="s">
        <v>13</v>
      </c>
      <c r="B178" s="5" t="s">
        <v>429</v>
      </c>
      <c r="C178" s="10" t="s">
        <v>23</v>
      </c>
      <c r="D178" s="9"/>
    </row>
    <row r="179" ht="15.75" customHeight="1">
      <c r="A179" s="5" t="s">
        <v>13</v>
      </c>
      <c r="B179" s="5" t="s">
        <v>430</v>
      </c>
      <c r="C179" s="10" t="s">
        <v>23</v>
      </c>
      <c r="D179" s="9"/>
    </row>
    <row r="180" ht="15.75" customHeight="1">
      <c r="A180" s="5" t="s">
        <v>13</v>
      </c>
      <c r="B180" s="5" t="s">
        <v>433</v>
      </c>
      <c r="C180" s="10" t="s">
        <v>23</v>
      </c>
      <c r="D180" s="9"/>
    </row>
    <row r="181" ht="15.75" customHeight="1">
      <c r="A181" s="5" t="s">
        <v>13</v>
      </c>
      <c r="B181" s="5" t="s">
        <v>434</v>
      </c>
      <c r="C181" s="10" t="s">
        <v>23</v>
      </c>
      <c r="D181" s="9"/>
    </row>
    <row r="182" ht="15.75" customHeight="1">
      <c r="A182" s="5" t="s">
        <v>13</v>
      </c>
      <c r="B182" s="5" t="s">
        <v>437</v>
      </c>
      <c r="C182" s="10" t="s">
        <v>23</v>
      </c>
      <c r="D182" s="9"/>
    </row>
    <row r="183" ht="15.75" customHeight="1">
      <c r="A183" s="5" t="s">
        <v>13</v>
      </c>
      <c r="B183" s="5" t="s">
        <v>438</v>
      </c>
      <c r="C183" s="10" t="s">
        <v>23</v>
      </c>
      <c r="D183" s="9" t="s">
        <v>46</v>
      </c>
    </row>
    <row r="184" ht="15.75" customHeight="1">
      <c r="A184" s="5" t="s">
        <v>13</v>
      </c>
      <c r="B184" s="5" t="s">
        <v>440</v>
      </c>
      <c r="C184" s="10" t="s">
        <v>23</v>
      </c>
      <c r="D184" s="9"/>
    </row>
    <row r="185" ht="15.75" customHeight="1">
      <c r="A185" s="5" t="s">
        <v>13</v>
      </c>
      <c r="B185" s="5" t="s">
        <v>443</v>
      </c>
      <c r="C185" s="10" t="s">
        <v>23</v>
      </c>
      <c r="D185" s="9"/>
    </row>
    <row r="186" ht="15.75" customHeight="1">
      <c r="A186" s="5" t="s">
        <v>13</v>
      </c>
      <c r="B186" s="5" t="s">
        <v>448</v>
      </c>
      <c r="C186" s="10" t="s">
        <v>23</v>
      </c>
      <c r="D186" s="9"/>
    </row>
    <row r="187" ht="15.75" customHeight="1">
      <c r="A187" s="5" t="s">
        <v>13</v>
      </c>
      <c r="B187" s="5" t="s">
        <v>451</v>
      </c>
      <c r="C187" s="10" t="s">
        <v>23</v>
      </c>
      <c r="D187" s="9" t="s">
        <v>46</v>
      </c>
    </row>
    <row r="188" ht="15.75" customHeight="1">
      <c r="A188" s="5" t="s">
        <v>13</v>
      </c>
      <c r="B188" s="5" t="s">
        <v>454</v>
      </c>
      <c r="C188" s="10" t="s">
        <v>23</v>
      </c>
      <c r="D188" s="9"/>
    </row>
    <row r="189" ht="15.75" customHeight="1">
      <c r="A189" s="5" t="s">
        <v>13</v>
      </c>
      <c r="B189" s="5" t="s">
        <v>456</v>
      </c>
      <c r="C189" s="10" t="s">
        <v>23</v>
      </c>
      <c r="D189" s="9"/>
    </row>
    <row r="190" ht="15.75" customHeight="1">
      <c r="A190" s="5" t="s">
        <v>13</v>
      </c>
      <c r="B190" s="5" t="s">
        <v>459</v>
      </c>
      <c r="C190" s="10" t="s">
        <v>23</v>
      </c>
      <c r="D190" s="9" t="s">
        <v>46</v>
      </c>
    </row>
    <row r="191" ht="15.75" customHeight="1">
      <c r="A191" s="5" t="s">
        <v>13</v>
      </c>
      <c r="B191" s="5" t="s">
        <v>462</v>
      </c>
      <c r="C191" s="10" t="s">
        <v>23</v>
      </c>
      <c r="D191" s="9"/>
    </row>
    <row r="192" ht="15.75" customHeight="1">
      <c r="A192" s="5" t="s">
        <v>13</v>
      </c>
      <c r="B192" s="5" t="s">
        <v>465</v>
      </c>
      <c r="C192" s="10" t="s">
        <v>23</v>
      </c>
      <c r="D192" s="9"/>
    </row>
    <row r="193" ht="15.75" customHeight="1">
      <c r="A193" s="5" t="s">
        <v>13</v>
      </c>
      <c r="B193" s="5" t="s">
        <v>468</v>
      </c>
      <c r="C193" s="10" t="s">
        <v>23</v>
      </c>
      <c r="D193" s="9"/>
    </row>
    <row r="194" ht="15.75" customHeight="1">
      <c r="A194" s="5" t="s">
        <v>13</v>
      </c>
      <c r="B194" s="5" t="s">
        <v>471</v>
      </c>
      <c r="C194" s="10" t="s">
        <v>23</v>
      </c>
      <c r="D194" s="9"/>
    </row>
    <row r="195" ht="15.75" customHeight="1">
      <c r="A195" s="5" t="s">
        <v>13</v>
      </c>
      <c r="B195" s="5" t="s">
        <v>473</v>
      </c>
      <c r="C195" s="10" t="s">
        <v>23</v>
      </c>
      <c r="D195" s="9"/>
    </row>
    <row r="196" ht="15.75" customHeight="1">
      <c r="A196" s="5" t="s">
        <v>13</v>
      </c>
      <c r="B196" s="5" t="s">
        <v>475</v>
      </c>
      <c r="C196" s="10" t="s">
        <v>23</v>
      </c>
      <c r="D196" s="9"/>
    </row>
    <row r="197" ht="15.75" customHeight="1">
      <c r="A197" s="5" t="s">
        <v>13</v>
      </c>
      <c r="B197" s="5" t="s">
        <v>445</v>
      </c>
      <c r="C197" s="10" t="s">
        <v>23</v>
      </c>
      <c r="D197" s="9"/>
    </row>
    <row r="198" ht="15.75" customHeight="1">
      <c r="A198" s="5" t="s">
        <v>13</v>
      </c>
      <c r="B198" s="5" t="s">
        <v>452</v>
      </c>
      <c r="C198" s="10" t="s">
        <v>23</v>
      </c>
      <c r="D198" s="9"/>
    </row>
    <row r="199" ht="15.75" customHeight="1">
      <c r="A199" s="5" t="s">
        <v>13</v>
      </c>
      <c r="B199" s="5" t="s">
        <v>458</v>
      </c>
      <c r="C199" s="10" t="s">
        <v>23</v>
      </c>
      <c r="D199" s="9"/>
    </row>
    <row r="200" ht="15.75" customHeight="1">
      <c r="A200" s="5" t="s">
        <v>13</v>
      </c>
      <c r="B200" s="5" t="s">
        <v>481</v>
      </c>
      <c r="C200" s="10" t="s">
        <v>23</v>
      </c>
      <c r="D200" s="9"/>
    </row>
    <row r="201" ht="15.75" customHeight="1">
      <c r="A201" s="5" t="s">
        <v>13</v>
      </c>
      <c r="B201" s="5" t="s">
        <v>484</v>
      </c>
      <c r="C201" s="10" t="s">
        <v>23</v>
      </c>
      <c r="D201" s="9"/>
    </row>
    <row r="202" ht="15.75" customHeight="1">
      <c r="A202" s="5" t="s">
        <v>13</v>
      </c>
      <c r="B202" s="5" t="s">
        <v>486</v>
      </c>
      <c r="C202" s="10" t="s">
        <v>23</v>
      </c>
      <c r="D202" s="9"/>
    </row>
    <row r="203" ht="15.75" customHeight="1">
      <c r="A203" s="5" t="s">
        <v>13</v>
      </c>
      <c r="B203" s="5" t="s">
        <v>487</v>
      </c>
      <c r="C203" s="10" t="s">
        <v>23</v>
      </c>
      <c r="D203" s="9"/>
    </row>
    <row r="204" ht="15.75" customHeight="1">
      <c r="A204" s="5" t="s">
        <v>13</v>
      </c>
      <c r="B204" s="5" t="s">
        <v>490</v>
      </c>
      <c r="C204" s="10" t="s">
        <v>23</v>
      </c>
      <c r="D204" s="9"/>
    </row>
    <row r="205" ht="15.75" customHeight="1">
      <c r="A205" s="5" t="s">
        <v>13</v>
      </c>
      <c r="B205" s="5" t="s">
        <v>491</v>
      </c>
      <c r="C205" s="10" t="s">
        <v>23</v>
      </c>
      <c r="D205" s="9"/>
    </row>
    <row r="206" ht="15.75" customHeight="1">
      <c r="A206" s="5" t="s">
        <v>13</v>
      </c>
      <c r="B206" s="5" t="s">
        <v>492</v>
      </c>
      <c r="C206" s="10" t="s">
        <v>23</v>
      </c>
      <c r="D206" s="9"/>
    </row>
    <row r="207" ht="15.75" customHeight="1">
      <c r="A207" s="5" t="s">
        <v>13</v>
      </c>
      <c r="B207" s="5" t="s">
        <v>496</v>
      </c>
      <c r="C207" s="10" t="s">
        <v>23</v>
      </c>
      <c r="D207" s="9"/>
    </row>
    <row r="208" ht="15.75" customHeight="1">
      <c r="A208" s="5" t="s">
        <v>13</v>
      </c>
      <c r="B208" s="5" t="s">
        <v>126</v>
      </c>
      <c r="C208" s="10" t="s">
        <v>23</v>
      </c>
      <c r="D208" s="9"/>
    </row>
    <row r="209" ht="15.75" customHeight="1">
      <c r="A209" s="5" t="s">
        <v>13</v>
      </c>
      <c r="B209" s="5" t="s">
        <v>130</v>
      </c>
      <c r="C209" s="10" t="s">
        <v>23</v>
      </c>
      <c r="D209" s="9"/>
    </row>
    <row r="210" ht="15.75" customHeight="1">
      <c r="A210" s="5" t="s">
        <v>13</v>
      </c>
      <c r="B210" s="5" t="s">
        <v>499</v>
      </c>
      <c r="C210" s="10" t="s">
        <v>23</v>
      </c>
      <c r="D210" s="9"/>
    </row>
    <row r="211" ht="15.75" customHeight="1">
      <c r="A211" s="5" t="s">
        <v>13</v>
      </c>
      <c r="B211" s="5" t="s">
        <v>500</v>
      </c>
      <c r="C211" s="10" t="s">
        <v>23</v>
      </c>
      <c r="D211" s="9"/>
    </row>
    <row r="212" ht="15.75" customHeight="1">
      <c r="A212" s="5" t="s">
        <v>13</v>
      </c>
      <c r="B212" s="5" t="s">
        <v>183</v>
      </c>
      <c r="C212" s="10" t="s">
        <v>23</v>
      </c>
      <c r="D212" s="9"/>
    </row>
    <row r="213" ht="15.75" customHeight="1">
      <c r="A213" s="5" t="s">
        <v>13</v>
      </c>
      <c r="B213" s="5" t="s">
        <v>190</v>
      </c>
      <c r="C213" s="10" t="s">
        <v>23</v>
      </c>
      <c r="D213" s="9"/>
    </row>
    <row r="214" ht="15.75" customHeight="1">
      <c r="A214" s="5" t="s">
        <v>13</v>
      </c>
      <c r="B214" s="5" t="s">
        <v>195</v>
      </c>
      <c r="C214" s="10" t="s">
        <v>23</v>
      </c>
      <c r="D214" s="9"/>
    </row>
    <row r="215" ht="15.75" customHeight="1">
      <c r="A215" s="5" t="s">
        <v>13</v>
      </c>
      <c r="B215" s="5" t="s">
        <v>385</v>
      </c>
      <c r="C215" s="10" t="s">
        <v>23</v>
      </c>
      <c r="D215" s="9"/>
    </row>
    <row r="216" ht="15.75" customHeight="1">
      <c r="A216" s="5" t="s">
        <v>13</v>
      </c>
      <c r="B216" s="5" t="s">
        <v>391</v>
      </c>
      <c r="C216" s="10" t="s">
        <v>23</v>
      </c>
      <c r="D216" s="9"/>
    </row>
    <row r="217" ht="15.75" customHeight="1">
      <c r="A217" s="5" t="s">
        <v>13</v>
      </c>
      <c r="B217" s="5" t="s">
        <v>509</v>
      </c>
      <c r="C217" s="10" t="s">
        <v>23</v>
      </c>
      <c r="D217" s="9"/>
    </row>
    <row r="218" ht="15.75" customHeight="1">
      <c r="A218" s="5" t="s">
        <v>13</v>
      </c>
      <c r="B218" s="5" t="s">
        <v>514</v>
      </c>
      <c r="C218" s="10" t="s">
        <v>23</v>
      </c>
      <c r="D218" s="9"/>
    </row>
    <row r="219" ht="15.75" customHeight="1">
      <c r="A219" s="5" t="s">
        <v>13</v>
      </c>
      <c r="B219" s="5" t="s">
        <v>516</v>
      </c>
      <c r="C219" s="10" t="s">
        <v>23</v>
      </c>
      <c r="D219" s="9"/>
    </row>
    <row r="220" ht="15.75" customHeight="1">
      <c r="A220" s="5" t="s">
        <v>13</v>
      </c>
      <c r="B220" s="5" t="s">
        <v>520</v>
      </c>
      <c r="C220" s="10" t="s">
        <v>23</v>
      </c>
      <c r="D220" s="9"/>
    </row>
    <row r="221" ht="15.75" customHeight="1">
      <c r="A221" s="5" t="s">
        <v>13</v>
      </c>
      <c r="B221" s="5" t="s">
        <v>521</v>
      </c>
      <c r="C221" s="10" t="s">
        <v>23</v>
      </c>
      <c r="D221" s="9"/>
    </row>
    <row r="222" ht="15.75" customHeight="1">
      <c r="A222" s="5" t="s">
        <v>13</v>
      </c>
      <c r="B222" s="5" t="s">
        <v>525</v>
      </c>
      <c r="C222" s="10" t="s">
        <v>23</v>
      </c>
      <c r="D222" s="9"/>
    </row>
    <row r="223" ht="15.75" customHeight="1">
      <c r="A223" s="5" t="s">
        <v>13</v>
      </c>
      <c r="B223" s="5" t="s">
        <v>527</v>
      </c>
      <c r="C223" s="10" t="s">
        <v>23</v>
      </c>
      <c r="D223" s="9"/>
    </row>
    <row r="224" ht="15.75" customHeight="1">
      <c r="A224" s="5" t="s">
        <v>13</v>
      </c>
      <c r="B224" s="5" t="s">
        <v>529</v>
      </c>
      <c r="C224" s="10" t="s">
        <v>23</v>
      </c>
      <c r="D224" s="9"/>
    </row>
    <row r="225" ht="15.75" customHeight="1">
      <c r="A225" s="5" t="s">
        <v>13</v>
      </c>
      <c r="B225" s="5" t="s">
        <v>534</v>
      </c>
      <c r="C225" s="10" t="s">
        <v>23</v>
      </c>
      <c r="D225" s="9"/>
    </row>
    <row r="226" ht="15.75" customHeight="1">
      <c r="A226" s="5" t="s">
        <v>13</v>
      </c>
      <c r="B226" s="5" t="s">
        <v>535</v>
      </c>
      <c r="C226" s="10" t="s">
        <v>23</v>
      </c>
      <c r="D226" s="9"/>
    </row>
    <row r="227" ht="15.75" customHeight="1">
      <c r="A227" s="5" t="s">
        <v>13</v>
      </c>
      <c r="B227" s="5" t="s">
        <v>539</v>
      </c>
      <c r="C227" s="10" t="s">
        <v>23</v>
      </c>
      <c r="D227" s="9"/>
    </row>
    <row r="228" ht="15.75" customHeight="1">
      <c r="A228" s="5" t="s">
        <v>13</v>
      </c>
      <c r="B228" s="5" t="s">
        <v>541</v>
      </c>
      <c r="C228" s="10" t="s">
        <v>23</v>
      </c>
      <c r="D228" s="9"/>
    </row>
    <row r="229" ht="15.75" customHeight="1">
      <c r="A229" s="5" t="s">
        <v>13</v>
      </c>
      <c r="B229" s="5" t="s">
        <v>545</v>
      </c>
      <c r="C229" s="10" t="s">
        <v>23</v>
      </c>
      <c r="D229" s="9"/>
    </row>
    <row r="230" ht="15.75" customHeight="1">
      <c r="A230" s="5" t="s">
        <v>13</v>
      </c>
      <c r="B230" s="5" t="s">
        <v>547</v>
      </c>
      <c r="C230" s="10" t="s">
        <v>23</v>
      </c>
      <c r="D230" s="9"/>
    </row>
    <row r="231" ht="15.75" customHeight="1">
      <c r="A231" s="5" t="s">
        <v>13</v>
      </c>
      <c r="B231" s="5" t="s">
        <v>549</v>
      </c>
      <c r="C231" s="10" t="s">
        <v>23</v>
      </c>
      <c r="D231" s="9"/>
    </row>
    <row r="232" ht="15.75" customHeight="1">
      <c r="A232" s="5" t="s">
        <v>13</v>
      </c>
      <c r="B232" s="5" t="s">
        <v>552</v>
      </c>
      <c r="C232" s="10" t="s">
        <v>23</v>
      </c>
      <c r="D232" s="9"/>
    </row>
    <row r="233" ht="15.75" customHeight="1">
      <c r="A233" s="5" t="s">
        <v>13</v>
      </c>
      <c r="B233" s="5" t="s">
        <v>553</v>
      </c>
      <c r="C233" s="10" t="s">
        <v>23</v>
      </c>
      <c r="D233" s="9"/>
    </row>
    <row r="234" ht="15.75" customHeight="1">
      <c r="A234" s="5" t="s">
        <v>13</v>
      </c>
      <c r="B234" s="5" t="s">
        <v>555</v>
      </c>
      <c r="C234" s="10" t="s">
        <v>23</v>
      </c>
      <c r="D234" s="9"/>
    </row>
    <row r="235" ht="15.75" customHeight="1">
      <c r="A235" s="5" t="s">
        <v>13</v>
      </c>
      <c r="B235" s="5" t="s">
        <v>557</v>
      </c>
      <c r="C235" s="10" t="s">
        <v>23</v>
      </c>
      <c r="D235" s="9"/>
    </row>
    <row r="236" ht="15.75" customHeight="1">
      <c r="A236" s="5" t="s">
        <v>13</v>
      </c>
      <c r="B236" s="5" t="s">
        <v>558</v>
      </c>
      <c r="C236" s="10" t="s">
        <v>23</v>
      </c>
      <c r="D236" s="9"/>
    </row>
    <row r="237" ht="15.75" customHeight="1">
      <c r="A237" s="5" t="s">
        <v>13</v>
      </c>
      <c r="B237" s="5" t="s">
        <v>561</v>
      </c>
      <c r="C237" s="10" t="s">
        <v>23</v>
      </c>
      <c r="D237" s="9"/>
    </row>
    <row r="238" ht="15.75" customHeight="1">
      <c r="A238" s="5" t="s">
        <v>13</v>
      </c>
      <c r="B238" s="5" t="s">
        <v>397</v>
      </c>
      <c r="C238" s="10" t="s">
        <v>23</v>
      </c>
      <c r="D238" s="9"/>
    </row>
    <row r="239" ht="15.75" customHeight="1">
      <c r="A239" s="5" t="s">
        <v>13</v>
      </c>
      <c r="B239" s="5" t="s">
        <v>403</v>
      </c>
      <c r="C239" s="10" t="s">
        <v>23</v>
      </c>
      <c r="D239" s="9"/>
    </row>
    <row r="240" ht="15.75" customHeight="1">
      <c r="A240" s="5" t="s">
        <v>13</v>
      </c>
      <c r="B240" s="5" t="s">
        <v>507</v>
      </c>
      <c r="C240" s="10" t="s">
        <v>23</v>
      </c>
      <c r="D240" s="9"/>
    </row>
    <row r="241" ht="15.75" customHeight="1">
      <c r="A241" s="5" t="s">
        <v>13</v>
      </c>
      <c r="B241" s="5" t="s">
        <v>511</v>
      </c>
      <c r="C241" s="10" t="s">
        <v>23</v>
      </c>
      <c r="D241" s="9"/>
    </row>
    <row r="242" ht="15.75" customHeight="1">
      <c r="A242" s="5" t="s">
        <v>13</v>
      </c>
      <c r="B242" s="5" t="s">
        <v>570</v>
      </c>
      <c r="C242" s="10" t="s">
        <v>23</v>
      </c>
      <c r="D242" s="9" t="s">
        <v>46</v>
      </c>
    </row>
    <row r="243" ht="15.75" customHeight="1">
      <c r="A243" s="5" t="s">
        <v>13</v>
      </c>
      <c r="B243" s="5" t="s">
        <v>571</v>
      </c>
      <c r="C243" s="10" t="s">
        <v>23</v>
      </c>
      <c r="D243" s="9"/>
    </row>
    <row r="244" ht="15.75" customHeight="1">
      <c r="A244" s="5" t="s">
        <v>13</v>
      </c>
      <c r="B244" s="5" t="s">
        <v>575</v>
      </c>
      <c r="C244" s="10" t="s">
        <v>23</v>
      </c>
      <c r="D244" s="9"/>
    </row>
    <row r="245" ht="15.75" customHeight="1">
      <c r="A245" s="5" t="s">
        <v>13</v>
      </c>
      <c r="B245" s="5" t="s">
        <v>463</v>
      </c>
      <c r="C245" s="10" t="s">
        <v>23</v>
      </c>
      <c r="D245" s="9"/>
    </row>
    <row r="246" ht="15.75" customHeight="1">
      <c r="A246" s="5" t="s">
        <v>13</v>
      </c>
      <c r="B246" s="5" t="s">
        <v>469</v>
      </c>
      <c r="C246" s="10" t="s">
        <v>23</v>
      </c>
      <c r="D246" s="9"/>
    </row>
    <row r="247" ht="15.75" customHeight="1">
      <c r="A247" s="5" t="s">
        <v>13</v>
      </c>
      <c r="B247" s="5" t="s">
        <v>474</v>
      </c>
      <c r="C247" s="10" t="s">
        <v>23</v>
      </c>
      <c r="D247" s="9"/>
    </row>
    <row r="248" ht="15.75" customHeight="1">
      <c r="A248" s="5" t="s">
        <v>13</v>
      </c>
      <c r="B248" s="5" t="s">
        <v>478</v>
      </c>
      <c r="C248" s="10" t="s">
        <v>23</v>
      </c>
      <c r="D248" s="9"/>
    </row>
    <row r="249" ht="15.75" customHeight="1">
      <c r="A249" s="5" t="s">
        <v>13</v>
      </c>
      <c r="B249" s="5" t="s">
        <v>580</v>
      </c>
      <c r="C249" s="10" t="s">
        <v>23</v>
      </c>
      <c r="D249" s="9"/>
    </row>
    <row r="250" ht="15.75" customHeight="1">
      <c r="A250" s="5" t="s">
        <v>13</v>
      </c>
      <c r="B250" s="5" t="s">
        <v>581</v>
      </c>
      <c r="C250" s="10" t="s">
        <v>23</v>
      </c>
      <c r="D250" s="9"/>
    </row>
    <row r="251" ht="15.75" customHeight="1">
      <c r="A251" s="5" t="s">
        <v>13</v>
      </c>
      <c r="B251" s="5" t="s">
        <v>584</v>
      </c>
      <c r="C251" s="10" t="s">
        <v>23</v>
      </c>
      <c r="D251" s="9"/>
    </row>
    <row r="252" ht="15.75" customHeight="1">
      <c r="A252" s="5" t="s">
        <v>13</v>
      </c>
      <c r="B252" s="5" t="s">
        <v>585</v>
      </c>
      <c r="C252" s="10" t="s">
        <v>23</v>
      </c>
      <c r="D252" s="9"/>
    </row>
    <row r="253" ht="15.75" customHeight="1">
      <c r="A253" s="5" t="s">
        <v>13</v>
      </c>
      <c r="B253" s="5" t="s">
        <v>587</v>
      </c>
      <c r="C253" s="10" t="s">
        <v>23</v>
      </c>
      <c r="D253" s="9"/>
    </row>
    <row r="254" ht="15.75" customHeight="1">
      <c r="A254" s="5" t="s">
        <v>13</v>
      </c>
      <c r="B254" s="5" t="s">
        <v>589</v>
      </c>
      <c r="C254" s="10" t="s">
        <v>23</v>
      </c>
      <c r="D254" s="9"/>
    </row>
    <row r="255" ht="15.75" customHeight="1">
      <c r="A255" s="5" t="s">
        <v>13</v>
      </c>
      <c r="B255" s="5" t="s">
        <v>591</v>
      </c>
      <c r="C255" s="10" t="s">
        <v>23</v>
      </c>
      <c r="D255" s="9"/>
    </row>
    <row r="256" ht="15.75" customHeight="1">
      <c r="A256" s="5" t="s">
        <v>13</v>
      </c>
      <c r="B256" s="5" t="s">
        <v>593</v>
      </c>
      <c r="C256" s="10" t="s">
        <v>23</v>
      </c>
      <c r="D256" s="9"/>
    </row>
    <row r="257" ht="15.75" customHeight="1">
      <c r="A257" s="5" t="s">
        <v>13</v>
      </c>
      <c r="B257" s="5" t="s">
        <v>595</v>
      </c>
      <c r="C257" s="10" t="s">
        <v>23</v>
      </c>
      <c r="D257" s="9"/>
    </row>
    <row r="258" ht="15.75" customHeight="1">
      <c r="A258" s="5" t="s">
        <v>13</v>
      </c>
      <c r="B258" s="5" t="s">
        <v>597</v>
      </c>
      <c r="C258" s="10" t="s">
        <v>23</v>
      </c>
      <c r="D258" s="9"/>
    </row>
    <row r="259" ht="15.75" customHeight="1">
      <c r="A259" s="5" t="s">
        <v>13</v>
      </c>
      <c r="B259" s="5" t="s">
        <v>598</v>
      </c>
      <c r="C259" s="10" t="s">
        <v>23</v>
      </c>
      <c r="D259" s="9"/>
    </row>
    <row r="260" ht="15.75" customHeight="1">
      <c r="A260" s="5" t="s">
        <v>13</v>
      </c>
      <c r="B260" s="5" t="s">
        <v>601</v>
      </c>
      <c r="C260" s="10" t="s">
        <v>23</v>
      </c>
      <c r="D260" s="9"/>
    </row>
    <row r="261" ht="15.75" customHeight="1">
      <c r="A261" s="5" t="s">
        <v>13</v>
      </c>
      <c r="B261" s="5" t="s">
        <v>602</v>
      </c>
      <c r="C261" s="10" t="s">
        <v>23</v>
      </c>
      <c r="D261" s="9"/>
    </row>
    <row r="262" ht="15.75" customHeight="1">
      <c r="A262" s="5" t="s">
        <v>13</v>
      </c>
      <c r="B262" s="5" t="s">
        <v>605</v>
      </c>
      <c r="C262" s="10" t="s">
        <v>23</v>
      </c>
      <c r="D262" s="9"/>
    </row>
    <row r="263" ht="15.75" customHeight="1">
      <c r="A263" s="5" t="s">
        <v>13</v>
      </c>
      <c r="B263" s="5" t="s">
        <v>540</v>
      </c>
      <c r="C263" s="10" t="s">
        <v>23</v>
      </c>
      <c r="D263" s="9"/>
    </row>
    <row r="264" ht="15.75" customHeight="1">
      <c r="A264" s="5" t="s">
        <v>13</v>
      </c>
      <c r="B264" s="5" t="s">
        <v>542</v>
      </c>
      <c r="C264" s="10" t="s">
        <v>23</v>
      </c>
      <c r="D264" s="9"/>
    </row>
    <row r="265" ht="15.75" customHeight="1">
      <c r="A265" s="5" t="s">
        <v>13</v>
      </c>
      <c r="B265" s="5" t="s">
        <v>544</v>
      </c>
      <c r="C265" s="10" t="s">
        <v>23</v>
      </c>
      <c r="D265" s="9"/>
    </row>
    <row r="266" ht="15.75" customHeight="1">
      <c r="A266" s="5" t="s">
        <v>15</v>
      </c>
      <c r="B266" s="5" t="s">
        <v>26</v>
      </c>
      <c r="C266" s="26" t="s">
        <v>27</v>
      </c>
      <c r="D266" s="9"/>
    </row>
    <row r="267" ht="15.75" customHeight="1">
      <c r="A267" s="5" t="s">
        <v>15</v>
      </c>
      <c r="B267" s="5" t="s">
        <v>390</v>
      </c>
      <c r="C267" s="10" t="s">
        <v>23</v>
      </c>
      <c r="D267" s="9"/>
    </row>
    <row r="268" ht="15.75" customHeight="1">
      <c r="A268" s="5" t="s">
        <v>15</v>
      </c>
      <c r="B268" s="5" t="s">
        <v>395</v>
      </c>
      <c r="C268" s="10" t="s">
        <v>23</v>
      </c>
      <c r="D268" s="9"/>
    </row>
    <row r="269" ht="15.75" customHeight="1">
      <c r="A269" s="5" t="s">
        <v>15</v>
      </c>
      <c r="B269" s="5" t="s">
        <v>399</v>
      </c>
      <c r="C269" s="10" t="s">
        <v>23</v>
      </c>
      <c r="D269" s="9"/>
    </row>
    <row r="270" ht="15.75" customHeight="1">
      <c r="A270" s="5" t="s">
        <v>15</v>
      </c>
      <c r="B270" s="5" t="s">
        <v>274</v>
      </c>
      <c r="C270" s="10" t="s">
        <v>23</v>
      </c>
      <c r="D270" s="9"/>
    </row>
    <row r="271" ht="15.75" customHeight="1">
      <c r="A271" s="5" t="s">
        <v>15</v>
      </c>
      <c r="B271" s="5" t="s">
        <v>409</v>
      </c>
      <c r="C271" s="10" t="s">
        <v>23</v>
      </c>
      <c r="D271" s="9"/>
    </row>
    <row r="272" ht="15.75" customHeight="1">
      <c r="A272" s="5" t="s">
        <v>15</v>
      </c>
      <c r="B272" s="5" t="s">
        <v>121</v>
      </c>
      <c r="C272" s="10" t="s">
        <v>23</v>
      </c>
      <c r="D272" s="9"/>
    </row>
    <row r="273" ht="15.75" customHeight="1">
      <c r="A273" s="5" t="s">
        <v>15</v>
      </c>
      <c r="B273" s="5" t="s">
        <v>417</v>
      </c>
      <c r="C273" s="10" t="s">
        <v>23</v>
      </c>
      <c r="D273" s="9"/>
    </row>
    <row r="274" ht="15.75" customHeight="1">
      <c r="A274" s="5" t="s">
        <v>15</v>
      </c>
      <c r="B274" s="5" t="s">
        <v>123</v>
      </c>
      <c r="C274" s="10" t="s">
        <v>23</v>
      </c>
      <c r="D274" s="9"/>
    </row>
    <row r="275" ht="15.75" customHeight="1">
      <c r="A275" s="5" t="s">
        <v>15</v>
      </c>
      <c r="B275" s="5" t="s">
        <v>125</v>
      </c>
      <c r="C275" s="10" t="s">
        <v>23</v>
      </c>
      <c r="D275" s="9"/>
    </row>
    <row r="276" ht="15.75" customHeight="1">
      <c r="A276" s="5" t="s">
        <v>15</v>
      </c>
      <c r="B276" s="5" t="s">
        <v>138</v>
      </c>
      <c r="C276" s="10" t="s">
        <v>23</v>
      </c>
      <c r="D276" s="9"/>
    </row>
    <row r="277" ht="15.75" customHeight="1">
      <c r="A277" s="5" t="s">
        <v>15</v>
      </c>
      <c r="B277" s="5" t="s">
        <v>142</v>
      </c>
      <c r="C277" s="10" t="s">
        <v>23</v>
      </c>
      <c r="D277" s="9"/>
    </row>
    <row r="278" ht="15.75" customHeight="1">
      <c r="A278" s="5" t="s">
        <v>15</v>
      </c>
      <c r="B278" s="5" t="s">
        <v>145</v>
      </c>
      <c r="C278" s="10" t="s">
        <v>23</v>
      </c>
      <c r="D278" s="9"/>
    </row>
    <row r="279" ht="15.75" customHeight="1">
      <c r="A279" s="5" t="s">
        <v>15</v>
      </c>
      <c r="B279" s="5" t="s">
        <v>129</v>
      </c>
      <c r="C279" s="10" t="s">
        <v>23</v>
      </c>
      <c r="D279" s="9"/>
    </row>
    <row r="280" ht="15.75" customHeight="1">
      <c r="A280" s="5" t="s">
        <v>15</v>
      </c>
      <c r="B280" s="5" t="s">
        <v>131</v>
      </c>
      <c r="C280" s="10" t="s">
        <v>23</v>
      </c>
      <c r="D280" s="9"/>
    </row>
    <row r="281" ht="15.75" customHeight="1">
      <c r="A281" s="5" t="s">
        <v>15</v>
      </c>
      <c r="B281" s="5" t="s">
        <v>134</v>
      </c>
      <c r="C281" s="10" t="s">
        <v>23</v>
      </c>
      <c r="D281" s="9"/>
    </row>
    <row r="282" ht="15.75" customHeight="1">
      <c r="A282" s="5" t="s">
        <v>15</v>
      </c>
      <c r="B282" s="5" t="s">
        <v>183</v>
      </c>
      <c r="C282" s="10" t="s">
        <v>23</v>
      </c>
      <c r="D282" s="9"/>
    </row>
    <row r="283" ht="15.75" customHeight="1">
      <c r="A283" s="5" t="s">
        <v>15</v>
      </c>
      <c r="B283" s="5" t="s">
        <v>190</v>
      </c>
      <c r="C283" s="10" t="s">
        <v>23</v>
      </c>
      <c r="D283" s="9"/>
    </row>
    <row r="284" ht="15.75" customHeight="1">
      <c r="A284" s="5" t="s">
        <v>15</v>
      </c>
      <c r="B284" s="5" t="s">
        <v>195</v>
      </c>
      <c r="C284" s="10" t="s">
        <v>23</v>
      </c>
      <c r="D284" s="9"/>
    </row>
    <row r="285" ht="15.75" customHeight="1">
      <c r="A285" s="5" t="s">
        <v>15</v>
      </c>
      <c r="B285" s="5" t="s">
        <v>152</v>
      </c>
      <c r="C285" s="10" t="s">
        <v>23</v>
      </c>
      <c r="D285" s="9"/>
    </row>
    <row r="286" ht="15.75" customHeight="1">
      <c r="A286" s="5" t="s">
        <v>15</v>
      </c>
      <c r="B286" s="5" t="s">
        <v>442</v>
      </c>
      <c r="C286" s="10" t="s">
        <v>23</v>
      </c>
      <c r="D286" s="9"/>
    </row>
    <row r="287" ht="15.75" customHeight="1">
      <c r="A287" s="5" t="s">
        <v>15</v>
      </c>
      <c r="B287" s="5" t="s">
        <v>444</v>
      </c>
      <c r="C287" s="10" t="s">
        <v>23</v>
      </c>
      <c r="D287" s="9"/>
    </row>
    <row r="288" ht="15.75" customHeight="1">
      <c r="A288" s="5" t="s">
        <v>15</v>
      </c>
      <c r="B288" s="5" t="s">
        <v>447</v>
      </c>
      <c r="C288" s="10" t="s">
        <v>23</v>
      </c>
      <c r="D288" s="9"/>
    </row>
    <row r="289" ht="15.75" customHeight="1">
      <c r="A289" s="5" t="s">
        <v>15</v>
      </c>
      <c r="B289" s="5" t="s">
        <v>203</v>
      </c>
      <c r="C289" s="10" t="s">
        <v>23</v>
      </c>
      <c r="D289" s="9"/>
    </row>
    <row r="290" ht="15.75" customHeight="1">
      <c r="A290" s="5" t="s">
        <v>15</v>
      </c>
      <c r="B290" s="5" t="s">
        <v>207</v>
      </c>
      <c r="C290" s="10" t="s">
        <v>23</v>
      </c>
      <c r="D290" s="9"/>
    </row>
    <row r="291" ht="15.75" customHeight="1">
      <c r="A291" s="5" t="s">
        <v>15</v>
      </c>
      <c r="B291" s="5" t="s">
        <v>385</v>
      </c>
      <c r="C291" s="10" t="s">
        <v>23</v>
      </c>
      <c r="D291" s="9"/>
    </row>
    <row r="292" ht="15.75" customHeight="1">
      <c r="A292" s="5" t="s">
        <v>15</v>
      </c>
      <c r="B292" s="5" t="s">
        <v>221</v>
      </c>
      <c r="C292" s="10" t="s">
        <v>23</v>
      </c>
      <c r="D292" s="9"/>
    </row>
    <row r="293" ht="15.75" customHeight="1">
      <c r="A293" s="5" t="s">
        <v>15</v>
      </c>
      <c r="B293" s="5" t="s">
        <v>224</v>
      </c>
      <c r="C293" s="10" t="s">
        <v>23</v>
      </c>
      <c r="D293" s="9"/>
    </row>
    <row r="294" ht="15.75" customHeight="1">
      <c r="A294" s="5" t="s">
        <v>15</v>
      </c>
      <c r="B294" s="5" t="s">
        <v>457</v>
      </c>
      <c r="C294" s="10" t="s">
        <v>23</v>
      </c>
      <c r="D294" s="9"/>
    </row>
    <row r="295" ht="15.75" customHeight="1">
      <c r="A295" s="5" t="s">
        <v>15</v>
      </c>
      <c r="B295" s="5" t="s">
        <v>225</v>
      </c>
      <c r="C295" s="10" t="s">
        <v>23</v>
      </c>
      <c r="D295" s="9"/>
    </row>
    <row r="296" ht="15.75" customHeight="1">
      <c r="A296" s="5" t="s">
        <v>15</v>
      </c>
      <c r="B296" s="5" t="s">
        <v>228</v>
      </c>
      <c r="C296" s="10" t="s">
        <v>23</v>
      </c>
      <c r="D296" s="9"/>
    </row>
    <row r="297" ht="15.75" customHeight="1">
      <c r="A297" s="5" t="s">
        <v>15</v>
      </c>
      <c r="B297" s="5" t="s">
        <v>403</v>
      </c>
      <c r="C297" s="10" t="s">
        <v>23</v>
      </c>
      <c r="D297" s="9"/>
    </row>
    <row r="298" ht="15.75" customHeight="1">
      <c r="A298" s="5" t="s">
        <v>15</v>
      </c>
      <c r="B298" s="5" t="s">
        <v>155</v>
      </c>
      <c r="C298" s="10" t="s">
        <v>23</v>
      </c>
      <c r="D298" s="9"/>
    </row>
    <row r="299" ht="15.75" customHeight="1">
      <c r="A299" s="5" t="s">
        <v>15</v>
      </c>
      <c r="B299" s="5" t="s">
        <v>163</v>
      </c>
      <c r="C299" s="10" t="s">
        <v>23</v>
      </c>
      <c r="D299" s="9"/>
    </row>
    <row r="300" ht="15.75" customHeight="1">
      <c r="A300" s="5" t="s">
        <v>15</v>
      </c>
      <c r="B300" s="5" t="s">
        <v>466</v>
      </c>
      <c r="C300" s="10" t="s">
        <v>23</v>
      </c>
      <c r="D300" s="9"/>
    </row>
    <row r="301" ht="15.75" customHeight="1">
      <c r="A301" s="5" t="s">
        <v>15</v>
      </c>
      <c r="B301" s="5" t="s">
        <v>170</v>
      </c>
      <c r="C301" s="10" t="s">
        <v>23</v>
      </c>
      <c r="D301" s="9"/>
    </row>
    <row r="302" ht="15.75" customHeight="1">
      <c r="A302" s="5" t="s">
        <v>15</v>
      </c>
      <c r="B302" s="5" t="s">
        <v>159</v>
      </c>
      <c r="C302" s="10" t="s">
        <v>23</v>
      </c>
      <c r="D302" s="9"/>
    </row>
    <row r="303" ht="15.75" customHeight="1">
      <c r="A303" s="5" t="s">
        <v>15</v>
      </c>
      <c r="B303" s="5" t="s">
        <v>165</v>
      </c>
      <c r="C303" s="10" t="s">
        <v>23</v>
      </c>
      <c r="D303" s="9"/>
    </row>
    <row r="304" ht="15.75" customHeight="1">
      <c r="A304" s="5" t="s">
        <v>15</v>
      </c>
      <c r="B304" s="5" t="s">
        <v>167</v>
      </c>
      <c r="C304" s="10" t="s">
        <v>23</v>
      </c>
      <c r="D304" s="9"/>
    </row>
    <row r="305" ht="15.75" customHeight="1">
      <c r="A305" s="5" t="s">
        <v>15</v>
      </c>
      <c r="B305" s="5" t="s">
        <v>161</v>
      </c>
      <c r="C305" s="10" t="s">
        <v>23</v>
      </c>
      <c r="D305" s="9"/>
    </row>
    <row r="306" ht="15.75" customHeight="1">
      <c r="A306" s="5" t="s">
        <v>15</v>
      </c>
      <c r="B306" s="5" t="s">
        <v>187</v>
      </c>
      <c r="C306" s="10" t="s">
        <v>23</v>
      </c>
      <c r="D306" s="9"/>
    </row>
    <row r="307" ht="15.75" customHeight="1">
      <c r="A307" s="5" t="s">
        <v>15</v>
      </c>
      <c r="B307" s="5" t="s">
        <v>191</v>
      </c>
      <c r="C307" s="10" t="s">
        <v>23</v>
      </c>
      <c r="D307" s="9"/>
    </row>
    <row r="308" ht="15.75" customHeight="1">
      <c r="A308" s="5" t="s">
        <v>15</v>
      </c>
      <c r="B308" s="5" t="s">
        <v>189</v>
      </c>
      <c r="C308" s="10" t="s">
        <v>23</v>
      </c>
      <c r="D308" s="9"/>
    </row>
    <row r="309" ht="15.75" customHeight="1">
      <c r="A309" s="5" t="s">
        <v>15</v>
      </c>
      <c r="B309" s="5" t="s">
        <v>174</v>
      </c>
      <c r="C309" s="10" t="s">
        <v>23</v>
      </c>
      <c r="D309" s="9"/>
    </row>
    <row r="310" ht="15.75" customHeight="1">
      <c r="A310" s="5" t="s">
        <v>15</v>
      </c>
      <c r="B310" s="5" t="s">
        <v>188</v>
      </c>
      <c r="C310" s="10" t="s">
        <v>23</v>
      </c>
      <c r="D310" s="9"/>
    </row>
    <row r="311" ht="15.75" customHeight="1">
      <c r="A311" s="5" t="s">
        <v>15</v>
      </c>
      <c r="B311" s="5" t="s">
        <v>391</v>
      </c>
      <c r="C311" s="10" t="s">
        <v>23</v>
      </c>
      <c r="D311" s="9"/>
    </row>
    <row r="312" ht="15.75" customHeight="1">
      <c r="A312" s="5" t="s">
        <v>15</v>
      </c>
      <c r="B312" s="5" t="s">
        <v>253</v>
      </c>
      <c r="C312" s="10" t="s">
        <v>23</v>
      </c>
      <c r="D312" s="9"/>
    </row>
    <row r="313" ht="15.75" customHeight="1">
      <c r="A313" s="5" t="s">
        <v>15</v>
      </c>
      <c r="B313" s="5" t="s">
        <v>249</v>
      </c>
      <c r="C313" s="10" t="s">
        <v>23</v>
      </c>
      <c r="D313" s="9"/>
    </row>
    <row r="314" ht="15.75" customHeight="1">
      <c r="A314" s="5" t="s">
        <v>15</v>
      </c>
      <c r="B314" s="5" t="s">
        <v>258</v>
      </c>
      <c r="C314" s="10" t="s">
        <v>23</v>
      </c>
      <c r="D314" s="9"/>
    </row>
    <row r="315" ht="15.75" customHeight="1">
      <c r="A315" s="5" t="s">
        <v>15</v>
      </c>
      <c r="B315" s="5" t="s">
        <v>268</v>
      </c>
      <c r="C315" s="10" t="s">
        <v>23</v>
      </c>
      <c r="D315" s="9"/>
    </row>
    <row r="316" ht="15.75" customHeight="1">
      <c r="A316" s="5" t="s">
        <v>15</v>
      </c>
      <c r="B316" s="5" t="s">
        <v>266</v>
      </c>
      <c r="C316" s="10" t="s">
        <v>23</v>
      </c>
      <c r="D316" s="9"/>
    </row>
    <row r="317" ht="15.75" customHeight="1">
      <c r="A317" s="5" t="s">
        <v>15</v>
      </c>
      <c r="B317" s="5" t="s">
        <v>270</v>
      </c>
      <c r="C317" s="10" t="s">
        <v>23</v>
      </c>
      <c r="D317" s="9"/>
    </row>
    <row r="318" ht="15.75" customHeight="1">
      <c r="A318" s="5" t="s">
        <v>15</v>
      </c>
      <c r="B318" s="5" t="s">
        <v>272</v>
      </c>
      <c r="C318" s="10" t="s">
        <v>23</v>
      </c>
      <c r="D318" s="9"/>
    </row>
    <row r="319" ht="15.75" customHeight="1">
      <c r="A319" s="5" t="s">
        <v>15</v>
      </c>
      <c r="B319" s="5" t="s">
        <v>263</v>
      </c>
      <c r="C319" s="10" t="s">
        <v>23</v>
      </c>
      <c r="D319" s="9"/>
    </row>
    <row r="320" ht="15.75" customHeight="1">
      <c r="A320" s="5" t="s">
        <v>15</v>
      </c>
      <c r="B320" s="5" t="s">
        <v>463</v>
      </c>
      <c r="C320" s="10" t="s">
        <v>23</v>
      </c>
      <c r="D320" s="9"/>
    </row>
    <row r="321" ht="15.75" customHeight="1">
      <c r="A321" s="5" t="s">
        <v>15</v>
      </c>
      <c r="B321" s="5" t="s">
        <v>469</v>
      </c>
      <c r="C321" s="10" t="s">
        <v>23</v>
      </c>
      <c r="D321" s="9"/>
    </row>
    <row r="322" ht="15.75" customHeight="1">
      <c r="A322" s="5" t="s">
        <v>15</v>
      </c>
      <c r="B322" s="5" t="s">
        <v>474</v>
      </c>
      <c r="C322" s="10" t="s">
        <v>23</v>
      </c>
      <c r="D322" s="9"/>
    </row>
    <row r="323" ht="15.75" customHeight="1">
      <c r="A323" s="5" t="s">
        <v>15</v>
      </c>
      <c r="B323" s="5" t="s">
        <v>478</v>
      </c>
      <c r="C323" s="10" t="s">
        <v>23</v>
      </c>
      <c r="D323" s="9"/>
    </row>
    <row r="324" ht="15.75" customHeight="1">
      <c r="A324" s="5" t="s">
        <v>15</v>
      </c>
      <c r="B324" s="5" t="s">
        <v>504</v>
      </c>
      <c r="C324" s="10" t="s">
        <v>23</v>
      </c>
      <c r="D324" s="9"/>
    </row>
    <row r="325" ht="15.75" customHeight="1">
      <c r="A325" s="5" t="s">
        <v>15</v>
      </c>
      <c r="B325" s="5" t="s">
        <v>278</v>
      </c>
      <c r="C325" s="10" t="s">
        <v>23</v>
      </c>
      <c r="D325" s="9"/>
    </row>
    <row r="326" ht="15.75" customHeight="1">
      <c r="A326" s="5" t="s">
        <v>15</v>
      </c>
      <c r="B326" s="5" t="s">
        <v>283</v>
      </c>
      <c r="C326" s="10" t="s">
        <v>23</v>
      </c>
      <c r="D326" s="9"/>
    </row>
    <row r="327" ht="15.75" customHeight="1">
      <c r="A327" s="5" t="s">
        <v>15</v>
      </c>
      <c r="B327" s="5" t="s">
        <v>282</v>
      </c>
      <c r="C327" s="10" t="s">
        <v>23</v>
      </c>
      <c r="D327" s="9"/>
    </row>
    <row r="328" ht="15.75" customHeight="1">
      <c r="A328" s="5" t="s">
        <v>15</v>
      </c>
      <c r="B328" s="5" t="s">
        <v>507</v>
      </c>
      <c r="C328" s="10" t="s">
        <v>23</v>
      </c>
      <c r="D328" s="9"/>
    </row>
    <row r="329" ht="15.75" customHeight="1">
      <c r="A329" s="5" t="s">
        <v>15</v>
      </c>
      <c r="B329" s="5" t="s">
        <v>511</v>
      </c>
      <c r="C329" s="10" t="s">
        <v>23</v>
      </c>
      <c r="D329" s="9"/>
    </row>
    <row r="330" ht="15.75" customHeight="1">
      <c r="A330" s="5" t="s">
        <v>15</v>
      </c>
      <c r="B330" s="5" t="s">
        <v>513</v>
      </c>
      <c r="C330" s="10" t="s">
        <v>23</v>
      </c>
      <c r="D330" s="9"/>
    </row>
    <row r="331" ht="15.75" customHeight="1">
      <c r="A331" s="5" t="s">
        <v>15</v>
      </c>
      <c r="B331" s="5" t="s">
        <v>515</v>
      </c>
      <c r="C331" s="10" t="s">
        <v>23</v>
      </c>
      <c r="D331" s="9"/>
    </row>
    <row r="332" ht="15.75" customHeight="1">
      <c r="A332" s="5" t="s">
        <v>15</v>
      </c>
      <c r="B332" s="5" t="s">
        <v>433</v>
      </c>
      <c r="C332" s="10" t="s">
        <v>23</v>
      </c>
      <c r="D332" s="9"/>
    </row>
    <row r="333" ht="15.75" customHeight="1">
      <c r="A333" s="5" t="s">
        <v>15</v>
      </c>
      <c r="B333" s="5" t="s">
        <v>518</v>
      </c>
      <c r="C333" s="10" t="s">
        <v>23</v>
      </c>
      <c r="D333" s="9"/>
    </row>
    <row r="334" ht="15.75" customHeight="1">
      <c r="A334" s="5" t="s">
        <v>15</v>
      </c>
      <c r="B334" s="5" t="s">
        <v>509</v>
      </c>
      <c r="C334" s="10" t="s">
        <v>23</v>
      </c>
      <c r="D334" s="9"/>
    </row>
    <row r="335" ht="15.75" customHeight="1">
      <c r="A335" s="5" t="s">
        <v>15</v>
      </c>
      <c r="B335" s="5" t="s">
        <v>514</v>
      </c>
      <c r="C335" s="10" t="s">
        <v>23</v>
      </c>
      <c r="D335" s="9"/>
    </row>
    <row r="336" ht="15.75" customHeight="1">
      <c r="A336" s="5" t="s">
        <v>15</v>
      </c>
      <c r="B336" s="5" t="s">
        <v>524</v>
      </c>
      <c r="C336" s="10" t="s">
        <v>23</v>
      </c>
      <c r="D336" s="9"/>
    </row>
    <row r="337" ht="15.75" customHeight="1">
      <c r="A337" s="5" t="s">
        <v>15</v>
      </c>
      <c r="B337" s="5" t="s">
        <v>526</v>
      </c>
      <c r="C337" s="10" t="s">
        <v>23</v>
      </c>
      <c r="D337" s="9"/>
    </row>
    <row r="338" ht="15.75" customHeight="1">
      <c r="A338" s="5" t="s">
        <v>15</v>
      </c>
      <c r="B338" s="5" t="s">
        <v>532</v>
      </c>
      <c r="C338" s="10" t="s">
        <v>23</v>
      </c>
      <c r="D338" s="9" t="s">
        <v>46</v>
      </c>
    </row>
    <row r="339" ht="15.75" customHeight="1">
      <c r="A339" s="5" t="s">
        <v>15</v>
      </c>
      <c r="B339" s="5" t="s">
        <v>536</v>
      </c>
      <c r="C339" s="10" t="s">
        <v>23</v>
      </c>
      <c r="D339" s="9" t="s">
        <v>46</v>
      </c>
    </row>
    <row r="340" ht="15.75" customHeight="1">
      <c r="A340" s="5" t="s">
        <v>15</v>
      </c>
      <c r="B340" s="5" t="s">
        <v>540</v>
      </c>
      <c r="C340" s="10" t="s">
        <v>23</v>
      </c>
      <c r="D340" s="9"/>
    </row>
    <row r="341" ht="15.75" customHeight="1">
      <c r="A341" s="5" t="s">
        <v>15</v>
      </c>
      <c r="B341" s="5" t="s">
        <v>542</v>
      </c>
      <c r="C341" s="10" t="s">
        <v>23</v>
      </c>
      <c r="D341" s="9"/>
    </row>
    <row r="342" ht="15.75" customHeight="1">
      <c r="A342" s="5" t="s">
        <v>15</v>
      </c>
      <c r="B342" s="5" t="s">
        <v>544</v>
      </c>
      <c r="C342" s="10" t="s">
        <v>23</v>
      </c>
      <c r="D342" s="9"/>
    </row>
    <row r="343" ht="15.75" customHeight="1">
      <c r="A343" s="5" t="s">
        <v>15</v>
      </c>
      <c r="B343" s="5" t="s">
        <v>393</v>
      </c>
      <c r="C343" s="10" t="s">
        <v>23</v>
      </c>
      <c r="D343" s="9"/>
    </row>
    <row r="344" ht="15.75" customHeight="1">
      <c r="A344" s="5" t="s">
        <v>15</v>
      </c>
      <c r="B344" s="5" t="s">
        <v>548</v>
      </c>
      <c r="C344" s="10" t="s">
        <v>23</v>
      </c>
      <c r="D344" s="9"/>
    </row>
    <row r="345" ht="15.75" customHeight="1">
      <c r="A345" s="5" t="s">
        <v>15</v>
      </c>
      <c r="B345" s="5" t="s">
        <v>396</v>
      </c>
      <c r="C345" s="10" t="s">
        <v>23</v>
      </c>
      <c r="D345" s="9"/>
    </row>
    <row r="346" ht="15.75" customHeight="1">
      <c r="A346" s="5" t="s">
        <v>15</v>
      </c>
      <c r="B346" s="5" t="s">
        <v>400</v>
      </c>
      <c r="C346" s="10" t="s">
        <v>23</v>
      </c>
      <c r="D346" s="9"/>
    </row>
    <row r="347" ht="15.75" customHeight="1">
      <c r="A347" s="5" t="s">
        <v>15</v>
      </c>
      <c r="B347" s="5" t="s">
        <v>402</v>
      </c>
      <c r="C347" s="10" t="s">
        <v>23</v>
      </c>
      <c r="D347" s="9"/>
    </row>
    <row r="348" ht="15.75" customHeight="1">
      <c r="A348" s="5" t="s">
        <v>15</v>
      </c>
      <c r="B348" s="5" t="s">
        <v>516</v>
      </c>
      <c r="C348" s="10" t="s">
        <v>23</v>
      </c>
      <c r="D348" s="9"/>
    </row>
    <row r="349" ht="15.75" customHeight="1">
      <c r="A349" s="5" t="s">
        <v>15</v>
      </c>
      <c r="B349" s="5" t="s">
        <v>405</v>
      </c>
      <c r="C349" s="10" t="s">
        <v>23</v>
      </c>
      <c r="D349" s="9"/>
    </row>
    <row r="350" ht="15.75" customHeight="1">
      <c r="A350" s="5" t="s">
        <v>15</v>
      </c>
      <c r="B350" s="5" t="s">
        <v>410</v>
      </c>
      <c r="C350" s="10" t="s">
        <v>23</v>
      </c>
      <c r="D350" s="9"/>
    </row>
    <row r="351" ht="15.75" customHeight="1">
      <c r="A351" s="5" t="s">
        <v>15</v>
      </c>
      <c r="B351" s="5" t="s">
        <v>414</v>
      </c>
      <c r="C351" s="10" t="s">
        <v>23</v>
      </c>
      <c r="D351" s="9"/>
    </row>
    <row r="352" ht="15.75" customHeight="1">
      <c r="A352" s="5" t="s">
        <v>15</v>
      </c>
      <c r="B352" s="5" t="s">
        <v>562</v>
      </c>
      <c r="C352" s="10" t="s">
        <v>23</v>
      </c>
      <c r="D352" s="9"/>
    </row>
    <row r="353" ht="15.75" customHeight="1">
      <c r="A353" s="5" t="s">
        <v>15</v>
      </c>
      <c r="B353" s="5" t="s">
        <v>520</v>
      </c>
      <c r="C353" s="10" t="s">
        <v>23</v>
      </c>
      <c r="D353" s="9"/>
    </row>
    <row r="354" ht="15.75" customHeight="1">
      <c r="A354" s="5" t="s">
        <v>15</v>
      </c>
      <c r="B354" s="5" t="s">
        <v>564</v>
      </c>
      <c r="C354" s="10" t="s">
        <v>23</v>
      </c>
      <c r="D354" s="9"/>
    </row>
    <row r="355" ht="15.75" customHeight="1">
      <c r="A355" s="5" t="s">
        <v>15</v>
      </c>
      <c r="B355" s="5" t="s">
        <v>566</v>
      </c>
      <c r="C355" s="10" t="s">
        <v>23</v>
      </c>
      <c r="D355" s="9"/>
    </row>
    <row r="356" ht="15.75" customHeight="1">
      <c r="A356" s="5" t="s">
        <v>15</v>
      </c>
      <c r="B356" s="5" t="s">
        <v>521</v>
      </c>
      <c r="C356" s="10" t="s">
        <v>23</v>
      </c>
      <c r="D356" s="9"/>
    </row>
    <row r="357" ht="15.75" customHeight="1">
      <c r="A357" s="5" t="s">
        <v>15</v>
      </c>
      <c r="B357" s="5" t="s">
        <v>569</v>
      </c>
      <c r="C357" s="10" t="s">
        <v>23</v>
      </c>
      <c r="D357" s="9"/>
    </row>
    <row r="358" ht="15.75" customHeight="1">
      <c r="A358" s="5" t="s">
        <v>15</v>
      </c>
      <c r="B358" s="5" t="s">
        <v>525</v>
      </c>
      <c r="C358" s="10" t="s">
        <v>23</v>
      </c>
      <c r="D358" s="9"/>
    </row>
    <row r="359" ht="15.75" customHeight="1">
      <c r="A359" s="5" t="s">
        <v>15</v>
      </c>
      <c r="B359" s="5" t="s">
        <v>572</v>
      </c>
      <c r="C359" s="10" t="s">
        <v>23</v>
      </c>
      <c r="D359" s="9" t="s">
        <v>46</v>
      </c>
    </row>
    <row r="360" ht="15.75" customHeight="1">
      <c r="A360" s="5" t="s">
        <v>15</v>
      </c>
      <c r="B360" s="5" t="s">
        <v>481</v>
      </c>
      <c r="C360" s="10" t="s">
        <v>23</v>
      </c>
      <c r="D360" s="9"/>
    </row>
    <row r="361" ht="15.75" customHeight="1">
      <c r="A361" s="5" t="s">
        <v>15</v>
      </c>
      <c r="B361" s="5" t="s">
        <v>486</v>
      </c>
      <c r="C361" s="10" t="s">
        <v>23</v>
      </c>
      <c r="D361" s="9"/>
    </row>
    <row r="362" ht="15.75" customHeight="1">
      <c r="A362" s="5" t="s">
        <v>15</v>
      </c>
      <c r="B362" s="5" t="s">
        <v>487</v>
      </c>
      <c r="C362" s="10" t="s">
        <v>23</v>
      </c>
      <c r="D362" s="9"/>
    </row>
    <row r="363" ht="15.75" customHeight="1">
      <c r="A363" s="5" t="s">
        <v>15</v>
      </c>
      <c r="B363" s="5" t="s">
        <v>490</v>
      </c>
      <c r="C363" s="10" t="s">
        <v>23</v>
      </c>
      <c r="D363" s="9"/>
    </row>
    <row r="364" ht="15.75" customHeight="1">
      <c r="A364" s="5" t="s">
        <v>15</v>
      </c>
      <c r="B364" s="5" t="s">
        <v>491</v>
      </c>
      <c r="C364" s="10" t="s">
        <v>23</v>
      </c>
      <c r="D364" s="9"/>
    </row>
    <row r="365" ht="15.75" customHeight="1">
      <c r="A365" s="5" t="s">
        <v>15</v>
      </c>
      <c r="B365" s="5" t="s">
        <v>345</v>
      </c>
      <c r="C365" s="10" t="s">
        <v>23</v>
      </c>
      <c r="D365" s="9"/>
    </row>
    <row r="366" ht="15.75" customHeight="1">
      <c r="A366" s="5" t="s">
        <v>15</v>
      </c>
      <c r="B366" s="5" t="s">
        <v>349</v>
      </c>
      <c r="C366" s="10" t="s">
        <v>23</v>
      </c>
      <c r="D366" s="9"/>
    </row>
    <row r="367" ht="15.75" customHeight="1">
      <c r="A367" s="5" t="s">
        <v>15</v>
      </c>
      <c r="B367" s="5" t="s">
        <v>354</v>
      </c>
      <c r="C367" s="10" t="s">
        <v>23</v>
      </c>
      <c r="D367" s="9"/>
    </row>
    <row r="368" ht="15.75" customHeight="1">
      <c r="A368" s="5" t="s">
        <v>15</v>
      </c>
      <c r="B368" s="5" t="s">
        <v>527</v>
      </c>
      <c r="C368" s="10" t="s">
        <v>23</v>
      </c>
      <c r="D368" s="9"/>
    </row>
    <row r="369" ht="15.75" customHeight="1">
      <c r="A369" s="5" t="s">
        <v>15</v>
      </c>
      <c r="B369" s="5" t="s">
        <v>360</v>
      </c>
      <c r="C369" s="10" t="s">
        <v>23</v>
      </c>
      <c r="D369" s="9"/>
    </row>
    <row r="370" ht="15.75" customHeight="1">
      <c r="A370" s="5" t="s">
        <v>15</v>
      </c>
      <c r="B370" s="5" t="s">
        <v>529</v>
      </c>
      <c r="C370" s="10" t="s">
        <v>23</v>
      </c>
      <c r="D370" s="9"/>
    </row>
    <row r="371" ht="15.75" customHeight="1">
      <c r="A371" s="5" t="s">
        <v>15</v>
      </c>
      <c r="B371" s="5" t="s">
        <v>341</v>
      </c>
      <c r="C371" s="10" t="s">
        <v>23</v>
      </c>
      <c r="D371" s="9"/>
    </row>
    <row r="372" ht="15.75" customHeight="1">
      <c r="A372" s="5" t="s">
        <v>15</v>
      </c>
      <c r="B372" s="5" t="s">
        <v>534</v>
      </c>
      <c r="C372" s="10" t="s">
        <v>23</v>
      </c>
      <c r="D372" s="9"/>
    </row>
    <row r="373" ht="15.75" customHeight="1">
      <c r="A373" s="5" t="s">
        <v>15</v>
      </c>
      <c r="B373" s="5" t="s">
        <v>535</v>
      </c>
      <c r="C373" s="10" t="s">
        <v>23</v>
      </c>
      <c r="D373" s="9"/>
    </row>
    <row r="374" ht="15.75" customHeight="1">
      <c r="A374" s="5" t="s">
        <v>15</v>
      </c>
      <c r="B374" s="5" t="s">
        <v>539</v>
      </c>
      <c r="C374" s="10" t="s">
        <v>23</v>
      </c>
      <c r="D374" s="9"/>
    </row>
    <row r="375" ht="15.75" customHeight="1">
      <c r="A375" s="5" t="s">
        <v>15</v>
      </c>
      <c r="B375" s="5" t="s">
        <v>541</v>
      </c>
      <c r="C375" s="10" t="s">
        <v>23</v>
      </c>
      <c r="D375" s="9"/>
    </row>
    <row r="376" ht="15.75" customHeight="1">
      <c r="A376" s="5" t="s">
        <v>15</v>
      </c>
      <c r="B376" s="5" t="s">
        <v>545</v>
      </c>
      <c r="C376" s="10" t="s">
        <v>23</v>
      </c>
      <c r="D376" s="9"/>
    </row>
    <row r="377" ht="15.75" customHeight="1">
      <c r="A377" s="5" t="s">
        <v>15</v>
      </c>
      <c r="B377" s="5" t="s">
        <v>547</v>
      </c>
      <c r="C377" s="10" t="s">
        <v>23</v>
      </c>
      <c r="D377" s="9"/>
    </row>
    <row r="378" ht="15.75" customHeight="1">
      <c r="A378" s="5" t="s">
        <v>15</v>
      </c>
      <c r="B378" s="5" t="s">
        <v>549</v>
      </c>
      <c r="C378" s="10" t="s">
        <v>23</v>
      </c>
      <c r="D378" s="9"/>
    </row>
    <row r="379" ht="15.75" customHeight="1">
      <c r="A379" s="5" t="s">
        <v>15</v>
      </c>
      <c r="B379" s="5" t="s">
        <v>552</v>
      </c>
      <c r="C379" s="10" t="s">
        <v>23</v>
      </c>
      <c r="D379" s="9"/>
    </row>
    <row r="380" ht="15.75" customHeight="1">
      <c r="A380" s="5" t="s">
        <v>15</v>
      </c>
      <c r="B380" s="5" t="s">
        <v>553</v>
      </c>
      <c r="C380" s="10" t="s">
        <v>23</v>
      </c>
      <c r="D380" s="9"/>
    </row>
    <row r="381" ht="15.75" customHeight="1">
      <c r="A381" s="5" t="s">
        <v>15</v>
      </c>
      <c r="B381" s="5" t="s">
        <v>638</v>
      </c>
      <c r="C381" s="10" t="s">
        <v>23</v>
      </c>
      <c r="D381" s="9"/>
    </row>
    <row r="382" ht="15.75" customHeight="1">
      <c r="A382" s="5" t="s">
        <v>15</v>
      </c>
      <c r="B382" s="5" t="s">
        <v>639</v>
      </c>
      <c r="C382" s="10" t="s">
        <v>23</v>
      </c>
      <c r="D382" s="9"/>
    </row>
    <row r="383" ht="15.75" customHeight="1">
      <c r="A383" s="5" t="s">
        <v>15</v>
      </c>
      <c r="B383" s="5" t="s">
        <v>643</v>
      </c>
      <c r="C383" s="10" t="s">
        <v>23</v>
      </c>
      <c r="D383" s="9"/>
    </row>
    <row r="384" ht="15.75" customHeight="1">
      <c r="A384" s="5" t="s">
        <v>15</v>
      </c>
      <c r="B384" s="5" t="s">
        <v>644</v>
      </c>
      <c r="C384" s="10" t="s">
        <v>23</v>
      </c>
      <c r="D384" s="9"/>
    </row>
    <row r="385" ht="15.75" customHeight="1">
      <c r="A385" s="5" t="s">
        <v>15</v>
      </c>
      <c r="B385" s="5" t="s">
        <v>555</v>
      </c>
      <c r="C385" s="10" t="s">
        <v>23</v>
      </c>
      <c r="D385" s="9"/>
    </row>
    <row r="386" ht="15.75" customHeight="1">
      <c r="A386" s="5" t="s">
        <v>15</v>
      </c>
      <c r="B386" s="5" t="s">
        <v>647</v>
      </c>
      <c r="C386" s="10" t="s">
        <v>23</v>
      </c>
      <c r="D386" s="9"/>
    </row>
    <row r="387" ht="15.75" customHeight="1">
      <c r="A387" s="5" t="s">
        <v>15</v>
      </c>
      <c r="B387" s="5" t="s">
        <v>650</v>
      </c>
      <c r="C387" s="10" t="s">
        <v>23</v>
      </c>
      <c r="D387" s="9"/>
    </row>
    <row r="388" ht="15.75" customHeight="1">
      <c r="A388" s="5" t="s">
        <v>15</v>
      </c>
      <c r="B388" s="5" t="s">
        <v>492</v>
      </c>
      <c r="C388" s="10" t="s">
        <v>23</v>
      </c>
      <c r="D388" s="9"/>
    </row>
    <row r="389" ht="15.75" customHeight="1">
      <c r="A389" s="5" t="s">
        <v>15</v>
      </c>
      <c r="B389" s="5" t="s">
        <v>557</v>
      </c>
      <c r="C389" s="10" t="s">
        <v>23</v>
      </c>
      <c r="D389" s="9"/>
    </row>
    <row r="390" ht="15.75" customHeight="1">
      <c r="A390" s="5" t="s">
        <v>15</v>
      </c>
      <c r="B390" s="5" t="s">
        <v>558</v>
      </c>
      <c r="C390" s="10" t="s">
        <v>23</v>
      </c>
      <c r="D390" s="9" t="s">
        <v>46</v>
      </c>
    </row>
    <row r="391" ht="15.75" customHeight="1">
      <c r="A391" s="5" t="s">
        <v>15</v>
      </c>
      <c r="B391" s="5" t="s">
        <v>561</v>
      </c>
      <c r="C391" s="10" t="s">
        <v>23</v>
      </c>
      <c r="D391" s="9"/>
    </row>
    <row r="392" ht="15.75" customHeight="1">
      <c r="A392" s="5" t="s">
        <v>15</v>
      </c>
      <c r="B392" s="5" t="s">
        <v>475</v>
      </c>
      <c r="C392" s="10" t="s">
        <v>23</v>
      </c>
      <c r="D392" s="9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2026-10-15T08:19:55Z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